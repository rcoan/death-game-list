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Análises de arrombadisse" sheetId="2" r:id="rId5"/>
    <sheet state="visible" name="Resumo da morte" sheetId="3" r:id="rId6"/>
    <sheet state="visible" name="Angela" sheetId="4" r:id="rId7"/>
    <sheet state="visible" name="Rayreis" sheetId="5" r:id="rId8"/>
    <sheet state="visible" name="Bruno bizarro" sheetId="6" r:id="rId9"/>
    <sheet state="visible" name="Bozsa" sheetId="7" r:id="rId10"/>
    <sheet state="visible" name="Felipe" sheetId="8" r:id="rId11"/>
    <sheet state="visible" name="Luan" sheetId="9" r:id="rId12"/>
    <sheet state="visible" name="Ray" sheetId="10" r:id="rId13"/>
    <sheet state="visible" name="Raul" sheetId="11" r:id="rId14"/>
    <sheet state="visible" name="Ricardo" sheetId="12" r:id="rId15"/>
    <sheet state="visible" name="Will" sheetId="13" r:id="rId16"/>
    <sheet state="visible" name="pixote" sheetId="14" r:id="rId17"/>
    <sheet state="visible" name="Lucas" sheetId="15" r:id="rId18"/>
    <sheet state="visible" name="Alvos" sheetId="16" r:id="rId19"/>
  </sheets>
  <definedNames>
    <definedName hidden="1" localSheetId="0" name="_xlnm._FilterDatabase">Resumo!$B$2:$C$14</definedName>
    <definedName hidden="1" localSheetId="15" name="_xlnm._FilterDatabase">Alvos!$A$1:$B$190</definedName>
    <definedName hidden="1" localSheetId="0" name="Z_E161FFB5_BD37_42CD_AF0C_19EBA6FC3078_.wvu.FilterData">Resumo!$B$2:$C$14</definedName>
  </definedNames>
  <calcPr/>
  <customWorkbookViews>
    <customWorkbookView activeSheetId="0" maximized="1" windowHeight="0" windowWidth="0" guid="{E161FFB5-BD37-42CD-AF0C-19EBA6FC3078}" name="Filtro 1"/>
  </customWorkbookViews>
  <extLst>
    <ext uri="GoogleSheetsCustomDataVersion2">
      <go:sheetsCustomData xmlns:go="http://customooxmlschemas.google.com/" r:id="rId20" roundtripDataChecksum="JuIzd7scZHxYj2MunNzAMYZ56xJWyLjtLcNRH0TW9D0="/>
    </ext>
  </extLst>
</workbook>
</file>

<file path=xl/sharedStrings.xml><?xml version="1.0" encoding="utf-8"?>
<sst xmlns="http://schemas.openxmlformats.org/spreadsheetml/2006/main" count="473" uniqueCount="288">
  <si>
    <t>Pontos</t>
  </si>
  <si>
    <t>Geral</t>
  </si>
  <si>
    <t>Ricardo</t>
  </si>
  <si>
    <t>Arrombado</t>
  </si>
  <si>
    <t>Arrombado Mor</t>
  </si>
  <si>
    <t>LUCAS BABRIKOWSKI</t>
  </si>
  <si>
    <t>WILL</t>
  </si>
  <si>
    <t>Arrombadinho</t>
  </si>
  <si>
    <t>Luan viado</t>
  </si>
  <si>
    <t>Meta de pontuação</t>
  </si>
  <si>
    <t xml:space="preserve">RAUL (Coveiro) </t>
  </si>
  <si>
    <t>BOZSA</t>
  </si>
  <si>
    <t>ANGELA</t>
  </si>
  <si>
    <t>Bruno bizarro</t>
  </si>
  <si>
    <t>RAY</t>
  </si>
  <si>
    <t>Bruno Bacon</t>
  </si>
  <si>
    <t>Felipe</t>
  </si>
  <si>
    <t>% Da meta</t>
  </si>
  <si>
    <t>% Do total</t>
  </si>
  <si>
    <t>TOTAL</t>
  </si>
  <si>
    <t>Nome</t>
  </si>
  <si>
    <t>Causa</t>
  </si>
  <si>
    <t>Pontuação</t>
  </si>
  <si>
    <t>fuad noman</t>
  </si>
  <si>
    <t>pneumonia</t>
  </si>
  <si>
    <t>Tony tornado</t>
  </si>
  <si>
    <t>parada cardiaca</t>
  </si>
  <si>
    <t>Preta Gil</t>
  </si>
  <si>
    <t>cancer</t>
  </si>
  <si>
    <t>Edgar vivar</t>
  </si>
  <si>
    <t>Parada cardio respiratoria</t>
  </si>
  <si>
    <t>Mama bruschetta</t>
  </si>
  <si>
    <t>Ringo starr</t>
  </si>
  <si>
    <t>insuficiencea renal</t>
  </si>
  <si>
    <t>Warren beatty</t>
  </si>
  <si>
    <t>Geoge w. bush</t>
  </si>
  <si>
    <t>FMO</t>
  </si>
  <si>
    <t>Laura cadoso</t>
  </si>
  <si>
    <t>Milton nacimento</t>
  </si>
  <si>
    <t>AVC</t>
  </si>
  <si>
    <t>Yayoi kusama</t>
  </si>
  <si>
    <t>Yoshiro tosashi</t>
  </si>
  <si>
    <t>Tim rice</t>
  </si>
  <si>
    <t>Jose sarney</t>
  </si>
  <si>
    <t>Luiza erudina</t>
  </si>
  <si>
    <t>Embolia pulmonar</t>
  </si>
  <si>
    <t>Jose mujica</t>
  </si>
  <si>
    <t>Cho seungyoun</t>
  </si>
  <si>
    <t>suicidio</t>
  </si>
  <si>
    <t>Phil collins</t>
  </si>
  <si>
    <t>Insuficiencia hepatica</t>
  </si>
  <si>
    <t>Yoko ono</t>
  </si>
  <si>
    <t>Mauricio de souza</t>
  </si>
  <si>
    <t>Ray satanista</t>
  </si>
  <si>
    <t>Raul gil</t>
  </si>
  <si>
    <t>causas naturais</t>
  </si>
  <si>
    <t>Lula</t>
  </si>
  <si>
    <t>acidendte domestico</t>
  </si>
  <si>
    <t>Gloria menezes</t>
  </si>
  <si>
    <t>CN</t>
  </si>
  <si>
    <t>tony rmos</t>
  </si>
  <si>
    <t>lima duarte</t>
  </si>
  <si>
    <t>moon taeil</t>
  </si>
  <si>
    <t>P diddy</t>
  </si>
  <si>
    <t>assassinado</t>
  </si>
  <si>
    <t>JK rowling</t>
  </si>
  <si>
    <t>doença</t>
  </si>
  <si>
    <t>jim carrey</t>
  </si>
  <si>
    <t>faustão</t>
  </si>
  <si>
    <t>fmo</t>
  </si>
  <si>
    <t>didi</t>
  </si>
  <si>
    <t>neil gayman</t>
  </si>
  <si>
    <t>Dinho ouro preto</t>
  </si>
  <si>
    <t>Andressa urach</t>
  </si>
  <si>
    <t>Yoon suk yeel</t>
  </si>
  <si>
    <t>Zizi pessi</t>
  </si>
  <si>
    <t>Joe biden</t>
  </si>
  <si>
    <t>leonardo cantor</t>
  </si>
  <si>
    <t>Maiaria da maraisa</t>
  </si>
  <si>
    <t>Bruno bizarro (letra ruim)</t>
  </si>
  <si>
    <t>lula</t>
  </si>
  <si>
    <t>bruce willis</t>
  </si>
  <si>
    <t>fernanda montenegro</t>
  </si>
  <si>
    <t>barbara streinsend</t>
  </si>
  <si>
    <t>mick jagger</t>
  </si>
  <si>
    <t>faustao</t>
  </si>
  <si>
    <t>toguro</t>
  </si>
  <si>
    <t>bolsonaro</t>
  </si>
  <si>
    <t>michal j fox</t>
  </si>
  <si>
    <t>christofer lloyd</t>
  </si>
  <si>
    <t>vicky vanilla</t>
  </si>
  <si>
    <t>jenna fischer</t>
  </si>
  <si>
    <t>rei charles</t>
  </si>
  <si>
    <t>ary fontura</t>
  </si>
  <si>
    <t>francisco cuoco</t>
  </si>
  <si>
    <t>celso portiollu</t>
  </si>
  <si>
    <t>kayky brito</t>
  </si>
  <si>
    <t>oruam</t>
  </si>
  <si>
    <t>leda nagle</t>
  </si>
  <si>
    <t>Lima Duarte</t>
  </si>
  <si>
    <t>Parada respiratória</t>
  </si>
  <si>
    <t>Laura Cardoso</t>
  </si>
  <si>
    <t>Ary fontoura</t>
  </si>
  <si>
    <t>Joan Plowright</t>
  </si>
  <si>
    <t>Ian Smith</t>
  </si>
  <si>
    <t>Claudia rodrigues</t>
  </si>
  <si>
    <t>bronco aspiração</t>
  </si>
  <si>
    <t>Francisco cuoco</t>
  </si>
  <si>
    <t>Fernanda montenegro</t>
  </si>
  <si>
    <t>Nathalia timberg</t>
  </si>
  <si>
    <t>Barbara eoen</t>
  </si>
  <si>
    <t>Dede santana</t>
  </si>
  <si>
    <t>Tiago leifert</t>
  </si>
  <si>
    <t>StenioGarcia</t>
  </si>
  <si>
    <t>Carlos alberto de nobrega</t>
  </si>
  <si>
    <t>Paulinho da viola</t>
  </si>
  <si>
    <t>Thais carla</t>
  </si>
  <si>
    <t>Ringo Star</t>
  </si>
  <si>
    <t>Diana ross</t>
  </si>
  <si>
    <t>Renato aragão</t>
  </si>
  <si>
    <t>Felipe castanhari</t>
  </si>
  <si>
    <t>Laura cardoso</t>
  </si>
  <si>
    <t>Lima duarte</t>
  </si>
  <si>
    <t>Ary fontura</t>
  </si>
  <si>
    <t>Cancer</t>
  </si>
  <si>
    <t>Gilberto gil</t>
  </si>
  <si>
    <t>Nicolas cage</t>
  </si>
  <si>
    <t>Paul mccartney</t>
  </si>
  <si>
    <t>Hemorragia</t>
  </si>
  <si>
    <t xml:space="preserve">Phill collin </t>
  </si>
  <si>
    <t>Celine dion</t>
  </si>
  <si>
    <t>FMC</t>
  </si>
  <si>
    <t>Rod stewart</t>
  </si>
  <si>
    <t>Roberto carlos (rei)</t>
  </si>
  <si>
    <t>Madonna</t>
  </si>
  <si>
    <t>Parada cardiaca</t>
  </si>
  <si>
    <t>Ney matogrosso</t>
  </si>
  <si>
    <t>Sérgio reis</t>
  </si>
  <si>
    <t>Gustavo lima</t>
  </si>
  <si>
    <t>Bolsonaro</t>
  </si>
  <si>
    <t>Moacyr franco</t>
  </si>
  <si>
    <t>Aneurisma</t>
  </si>
  <si>
    <t>iam</t>
  </si>
  <si>
    <t>icc</t>
  </si>
  <si>
    <t>avc</t>
  </si>
  <si>
    <t>tony tornando</t>
  </si>
  <si>
    <t>nathalia tiberge</t>
  </si>
  <si>
    <t>ICE</t>
  </si>
  <si>
    <t>laura cardoso</t>
  </si>
  <si>
    <t>dormindo</t>
  </si>
  <si>
    <t>jose arney</t>
  </si>
  <si>
    <t>fhc</t>
  </si>
  <si>
    <t>maluf</t>
  </si>
  <si>
    <t>jose serra</t>
  </si>
  <si>
    <t>Eduardo suplicy</t>
  </si>
  <si>
    <t>tle</t>
  </si>
  <si>
    <t>Gloia menezes</t>
  </si>
  <si>
    <t>hemorragia</t>
  </si>
  <si>
    <t>lua leifert</t>
  </si>
  <si>
    <t>othan bastos</t>
  </si>
  <si>
    <t>steno garcia</t>
  </si>
  <si>
    <t>Roberto carlos</t>
  </si>
  <si>
    <t>Renan calheiras</t>
  </si>
  <si>
    <t>Carlos alberto</t>
  </si>
  <si>
    <t>Ozzy osbourne</t>
  </si>
  <si>
    <t>queda</t>
  </si>
  <si>
    <t>Monark</t>
  </si>
  <si>
    <t>Stenio garcia</t>
  </si>
  <si>
    <t>Keith Richards</t>
  </si>
  <si>
    <t>Ben affleck</t>
  </si>
  <si>
    <t>Isabel veloso</t>
  </si>
  <si>
    <t>FHC</t>
  </si>
  <si>
    <t>Morgan freeman</t>
  </si>
  <si>
    <t>sergio reis</t>
  </si>
  <si>
    <t>rod stewart</t>
  </si>
  <si>
    <t>sophia loren</t>
  </si>
  <si>
    <t>gloria menezes</t>
  </si>
  <si>
    <t xml:space="preserve">RAUL (ex-Coveiro) </t>
  </si>
  <si>
    <t>bateu a cabeça</t>
  </si>
  <si>
    <t>M schumacker</t>
  </si>
  <si>
    <t>Tom cruise</t>
  </si>
  <si>
    <t>Bruce willis</t>
  </si>
  <si>
    <t>Bonner</t>
  </si>
  <si>
    <t>Infarto</t>
  </si>
  <si>
    <t>Didi</t>
  </si>
  <si>
    <t>Engagado com melão</t>
  </si>
  <si>
    <t>Bruno do marrone</t>
  </si>
  <si>
    <t>comida</t>
  </si>
  <si>
    <t>Paul maccartney</t>
  </si>
  <si>
    <t>Sergio reis</t>
  </si>
  <si>
    <t>Faustão</t>
  </si>
  <si>
    <t>infarto</t>
  </si>
  <si>
    <t>Susana vieira</t>
  </si>
  <si>
    <t>Ana maria braga</t>
  </si>
  <si>
    <t>ataque de cães</t>
  </si>
  <si>
    <t>Emilio surita</t>
  </si>
  <si>
    <t>Casa grande</t>
  </si>
  <si>
    <t>Ricardo (Coveiro)</t>
  </si>
  <si>
    <t>Michael schumacker</t>
  </si>
  <si>
    <t>boris casoy</t>
  </si>
  <si>
    <t>complicações respiratórias</t>
  </si>
  <si>
    <t>parada cardiorespiratória</t>
  </si>
  <si>
    <t>pcr</t>
  </si>
  <si>
    <t>claudia rodrigues</t>
  </si>
  <si>
    <t>marcos oliveira</t>
  </si>
  <si>
    <t>tony tornado</t>
  </si>
  <si>
    <t>Datena</t>
  </si>
  <si>
    <t>infarno</t>
  </si>
  <si>
    <t>Calminha</t>
  </si>
  <si>
    <t>queda de moto</t>
  </si>
  <si>
    <t>Nino abavanel</t>
  </si>
  <si>
    <t>traumatismo</t>
  </si>
  <si>
    <t>mama bruschetta</t>
  </si>
  <si>
    <t>complicações do cancer</t>
  </si>
  <si>
    <t>fibrilação atuial</t>
  </si>
  <si>
    <t>tjairzinho</t>
  </si>
  <si>
    <t>yoshino togashi</t>
  </si>
  <si>
    <t>linfoma</t>
  </si>
  <si>
    <t>Milionário do josé rico</t>
  </si>
  <si>
    <t>Faustao</t>
  </si>
  <si>
    <t>Volodymyr zelensky</t>
  </si>
  <si>
    <t>suicidio suspeito</t>
  </si>
  <si>
    <t>Sarney</t>
  </si>
  <si>
    <t>Nova pandemia asiatica</t>
  </si>
  <si>
    <t>alek do zoio</t>
  </si>
  <si>
    <t>Pepe mijica</t>
  </si>
  <si>
    <t>tosse de cachorro veio</t>
  </si>
  <si>
    <t>Schumacher</t>
  </si>
  <si>
    <t>desligaram o aparelho</t>
  </si>
  <si>
    <t>bacteria no estomago</t>
  </si>
  <si>
    <t>claudio rodrigues</t>
  </si>
  <si>
    <t>acidente domestico</t>
  </si>
  <si>
    <t>raul gil</t>
  </si>
  <si>
    <t>roberto carlos</t>
  </si>
  <si>
    <t>caiu do palco</t>
  </si>
  <si>
    <t>ataque cardiaco</t>
  </si>
  <si>
    <t>isabel veloso</t>
  </si>
  <si>
    <t>Pixote</t>
  </si>
  <si>
    <t>Suzana vieira</t>
  </si>
  <si>
    <t>leucemia</t>
  </si>
  <si>
    <t>simony</t>
  </si>
  <si>
    <t>mauricio kubrosly</t>
  </si>
  <si>
    <t>falencia do cerebro</t>
  </si>
  <si>
    <t>fernanda monte negro</t>
  </si>
  <si>
    <t>falencia celebral</t>
  </si>
  <si>
    <t>thais carla</t>
  </si>
  <si>
    <t>cirurgia</t>
  </si>
  <si>
    <t>kabrinha</t>
  </si>
  <si>
    <t>acidente</t>
  </si>
  <si>
    <t>elton john</t>
  </si>
  <si>
    <t>gordao da xj</t>
  </si>
  <si>
    <t>day z</t>
  </si>
  <si>
    <t>assassinato</t>
  </si>
  <si>
    <t>liluzi</t>
  </si>
  <si>
    <t>overdose</t>
  </si>
  <si>
    <t>fernando do sorocaba</t>
  </si>
  <si>
    <t>Lucas aleatório</t>
  </si>
  <si>
    <t>jackie chan</t>
  </si>
  <si>
    <t>putin</t>
  </si>
  <si>
    <t>missil</t>
  </si>
  <si>
    <t>Biden</t>
  </si>
  <si>
    <t>Papa francisco</t>
  </si>
  <si>
    <t>Aecio neves</t>
  </si>
  <si>
    <t>trump</t>
  </si>
  <si>
    <t>arthur do val</t>
  </si>
  <si>
    <t>assasinato a mao armada</t>
  </si>
  <si>
    <t>silas malafaia</t>
  </si>
  <si>
    <t>engasgado</t>
  </si>
  <si>
    <t>RR Soares</t>
  </si>
  <si>
    <t>intestino</t>
  </si>
  <si>
    <t>Padre kelmon</t>
  </si>
  <si>
    <t>ricardo salles</t>
  </si>
  <si>
    <t>edir macedo</t>
  </si>
  <si>
    <t>valdemiro santiago</t>
  </si>
  <si>
    <t>michael tamer</t>
  </si>
  <si>
    <t>Eduardo bolsonaro</t>
  </si>
  <si>
    <t>marco feliciano</t>
  </si>
  <si>
    <t>tarcisiio</t>
  </si>
  <si>
    <t>Alvos</t>
  </si>
  <si>
    <t>Acertou</t>
  </si>
  <si>
    <t>Data morte</t>
  </si>
  <si>
    <t>26 de março de 2025</t>
  </si>
  <si>
    <t>20 de julho de 2025</t>
  </si>
  <si>
    <t>13 de maio de 2025</t>
  </si>
  <si>
    <t>19 de junho de 2025</t>
  </si>
  <si>
    <t>16 de janeiro de 2025</t>
  </si>
  <si>
    <t>22 de julho de 2025</t>
  </si>
  <si>
    <t>21 de abril de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</si>
</sst>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</font>
    <font/>
    <font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rgb="FF1F1F1F"/>
      <name val="Arial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3" numFmtId="0" xfId="0" applyBorder="1" applyFont="1"/>
    <xf borderId="0" fillId="0" fontId="3" numFmtId="0" xfId="0" applyFont="1"/>
    <xf borderId="6" fillId="0" fontId="1" numFmtId="0" xfId="0" applyBorder="1" applyFont="1"/>
    <xf borderId="7" fillId="0" fontId="4" numFmtId="0" xfId="0" applyBorder="1" applyFont="1"/>
    <xf borderId="8" fillId="0" fontId="1" numFmtId="0" xfId="0" applyBorder="1" applyFont="1"/>
    <xf borderId="8" fillId="0" fontId="3" numFmtId="0" xfId="0" applyBorder="1" applyFont="1"/>
    <xf borderId="0" fillId="0" fontId="3" numFmtId="0" xfId="0" applyAlignment="1" applyFont="1">
      <alignment readingOrder="0"/>
    </xf>
    <xf borderId="9" fillId="0" fontId="3" numFmtId="0" xfId="0" applyBorder="1" applyFont="1"/>
    <xf borderId="5" fillId="2" fontId="5" numFmtId="0" xfId="0" applyBorder="1" applyFill="1" applyFont="1"/>
    <xf borderId="10" fillId="0" fontId="3" numFmtId="0" xfId="0" applyBorder="1" applyFont="1"/>
    <xf borderId="0" fillId="2" fontId="5" numFmtId="0" xfId="0" applyAlignment="1" applyFont="1">
      <alignment readingOrder="0"/>
    </xf>
    <xf borderId="0" fillId="0" fontId="4" numFmtId="0" xfId="0" applyAlignment="1" applyFont="1">
      <alignment readingOrder="0"/>
    </xf>
    <xf borderId="10" fillId="0" fontId="4" numFmtId="0" xfId="0" applyBorder="1" applyFont="1"/>
    <xf borderId="11" fillId="0" fontId="4" numFmtId="0" xfId="0" applyBorder="1" applyFont="1"/>
    <xf borderId="0" fillId="2" fontId="6" numFmtId="9" xfId="0" applyFont="1" applyNumberFormat="1"/>
    <xf borderId="0" fillId="0" fontId="3" numFmtId="10" xfId="0" applyFont="1" applyNumberFormat="1"/>
    <xf borderId="0" fillId="0" fontId="3" numFmtId="9" xfId="0" applyFont="1" applyNumberFormat="1"/>
    <xf borderId="12" fillId="0" fontId="7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8" numFmtId="0" xfId="0" applyBorder="1" applyFont="1"/>
    <xf borderId="15" fillId="0" fontId="7" numFmtId="0" xfId="0" applyBorder="1" applyFont="1"/>
    <xf borderId="15" fillId="0" fontId="7" numFmtId="0" xfId="0" applyAlignment="1" applyBorder="1" applyFont="1">
      <alignment readingOrder="0"/>
    </xf>
    <xf borderId="15" fillId="0" fontId="3" numFmtId="0" xfId="0" applyAlignment="1" applyBorder="1" applyFont="1">
      <alignment readingOrder="0"/>
    </xf>
    <xf borderId="15" fillId="0" fontId="3" numFmtId="0" xfId="0" applyBorder="1" applyFont="1"/>
    <xf borderId="12" fillId="0" fontId="7" numFmtId="0" xfId="0" applyAlignment="1" applyBorder="1" applyFont="1">
      <alignment horizontal="center" readingOrder="0"/>
    </xf>
    <xf borderId="0" fillId="2" fontId="5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% Da meta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'Análises de arrombadisse'!$B$1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'Análises de arrombadisse'!$A$2:$A$7</c:f>
            </c:strRef>
          </c:cat>
          <c:val>
            <c:numRef>
              <c:f>'Análises de arrombadisse'!$B$2:$B$7</c:f>
              <c:numCache/>
            </c:numRef>
          </c:val>
        </c:ser>
        <c:axId val="800052931"/>
        <c:axId val="1546083599"/>
      </c:barChart>
      <c:catAx>
        <c:axId val="800052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6083599"/>
      </c:catAx>
      <c:valAx>
        <c:axId val="1546083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005293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% Do total de pontos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Resumo!$B$2:$B$14</c:f>
            </c:strRef>
          </c:cat>
          <c:val>
            <c:numRef>
              <c:f>Resumo!$C$2:$C$14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Meta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Resumo!$C$2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Resumo!$B$3:$B$14</c:f>
            </c:strRef>
          </c:cat>
          <c:val>
            <c:numRef>
              <c:f>Resumo!$C$3:$C$14</c:f>
              <c:numCache/>
            </c:numRef>
          </c:val>
        </c:ser>
        <c:axId val="1949206579"/>
        <c:axId val="106166710"/>
      </c:barChart>
      <c:lineChart>
        <c:varyColors val="0"/>
        <c:ser>
          <c:idx val="1"/>
          <c:order val="1"/>
          <c:tx>
            <c:strRef>
              <c:f>Resumo!$J$1</c:f>
            </c:strRef>
          </c:tx>
          <c:spPr>
            <a:ln cmpd="sng">
              <a:solidFill>
                <a:srgbClr val="CC0000"/>
              </a:solidFill>
            </a:ln>
          </c:spPr>
          <c:marker>
            <c:symbol val="none"/>
          </c:marker>
          <c:cat>
            <c:strRef>
              <c:f>Resumo!$B$3:$B$14</c:f>
            </c:strRef>
          </c:cat>
          <c:val>
            <c:numRef>
              <c:f>Resumo!$J$2:$J$13</c:f>
              <c:numCache/>
            </c:numRef>
          </c:val>
          <c:smooth val="0"/>
        </c:ser>
        <c:axId val="1949206579"/>
        <c:axId val="106166710"/>
      </c:lineChart>
      <c:catAx>
        <c:axId val="1949206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06166710"/>
      </c:catAx>
      <c:valAx>
        <c:axId val="106166710"/>
        <c:scaling>
          <c:orientation val="minMax"/>
          <c:max val="11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4920657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76200</xdr:rowOff>
    </xdr:from>
    <xdr:ext cx="4210050" cy="2600325"/>
    <xdr:graphicFrame>
      <xdr:nvGraphicFramePr>
        <xdr:cNvPr id="157695382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514350</xdr:colOff>
      <xdr:row>17</xdr:row>
      <xdr:rowOff>76200</xdr:rowOff>
    </xdr:from>
    <xdr:ext cx="4152900" cy="2600325"/>
    <xdr:graphicFrame>
      <xdr:nvGraphicFramePr>
        <xdr:cNvPr id="155816151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10953750" cy="6191250"/>
    <xdr:graphicFrame>
      <xdr:nvGraphicFramePr>
        <xdr:cNvPr id="152848779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285750</xdr:colOff>
      <xdr:row>3</xdr:row>
      <xdr:rowOff>38100</xdr:rowOff>
    </xdr:from>
    <xdr:ext cx="4600575" cy="57816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2.43"/>
    <col customWidth="1" min="3" max="3" width="10.14"/>
    <col customWidth="1" min="4" max="4" width="15.29"/>
    <col customWidth="1" min="5" max="5" width="19.57"/>
    <col customWidth="1" min="6" max="6" width="22.29"/>
    <col customWidth="1" min="7" max="7" width="28.57"/>
    <col customWidth="1" min="8" max="8" width="30.57"/>
    <col customWidth="1" min="9" max="9" width="19.14"/>
    <col customWidth="1" min="10" max="10" width="8.71"/>
    <col customWidth="1" min="11" max="11" width="24.57"/>
    <col customWidth="1" min="12" max="12" width="20.57"/>
    <col customWidth="1" min="13" max="14" width="8.71"/>
    <col customWidth="1" min="15" max="15" width="19.57"/>
    <col customWidth="1" min="16" max="16" width="27.71"/>
    <col customWidth="1" min="17" max="27" width="8.71"/>
  </cols>
  <sheetData>
    <row r="1">
      <c r="A1" s="1"/>
      <c r="B1" s="2" t="s">
        <v>0</v>
      </c>
      <c r="C1" s="3"/>
      <c r="E1" s="4" t="s">
        <v>1</v>
      </c>
      <c r="F1" s="5"/>
      <c r="I1" s="6" t="s">
        <v>2</v>
      </c>
      <c r="J1" s="7">
        <v>100.0</v>
      </c>
    </row>
    <row r="2">
      <c r="A2" s="1"/>
      <c r="B2" s="8" t="s">
        <v>3</v>
      </c>
      <c r="C2" s="9"/>
      <c r="E2" s="10" t="s">
        <v>4</v>
      </c>
      <c r="F2" s="11" t="str">
        <f t="shared" ref="F2:F4" si="1">B3</f>
        <v>ANGELA</v>
      </c>
      <c r="I2" s="6" t="s">
        <v>5</v>
      </c>
      <c r="J2" s="7">
        <v>100.0</v>
      </c>
    </row>
    <row r="3">
      <c r="A3" s="12">
        <v>1.0</v>
      </c>
      <c r="B3" s="6" t="str">
        <f>Angela!A1</f>
        <v>ANGELA</v>
      </c>
      <c r="C3" s="13">
        <f>Angela!E1</f>
        <v>84</v>
      </c>
      <c r="E3" s="11" t="s">
        <v>3</v>
      </c>
      <c r="F3" s="11" t="str">
        <f t="shared" si="1"/>
        <v>RAY</v>
      </c>
      <c r="I3" s="6" t="s">
        <v>6</v>
      </c>
      <c r="J3" s="7">
        <v>100.0</v>
      </c>
    </row>
    <row r="4">
      <c r="A4" s="12">
        <v>2.0</v>
      </c>
      <c r="B4" s="6" t="str">
        <f>Ray!A1</f>
        <v>RAY</v>
      </c>
      <c r="C4" s="13">
        <f>Ray!E1</f>
        <v>74</v>
      </c>
      <c r="E4" s="11" t="s">
        <v>7</v>
      </c>
      <c r="F4" s="11" t="str">
        <f t="shared" si="1"/>
        <v>BOZSA</v>
      </c>
      <c r="I4" s="14" t="s">
        <v>8</v>
      </c>
      <c r="J4" s="7">
        <v>100.0</v>
      </c>
    </row>
    <row r="5">
      <c r="A5" s="12">
        <v>3.0</v>
      </c>
      <c r="B5" s="6" t="str">
        <f>Bozsa!A1</f>
        <v>BOZSA</v>
      </c>
      <c r="C5" s="13">
        <f>Bozsa!E1</f>
        <v>63</v>
      </c>
      <c r="E5" s="11" t="s">
        <v>9</v>
      </c>
      <c r="F5" s="11">
        <v>100.0</v>
      </c>
      <c r="I5" s="6" t="s">
        <v>10</v>
      </c>
      <c r="J5" s="7">
        <v>100.0</v>
      </c>
    </row>
    <row r="6">
      <c r="A6" s="12">
        <v>4.0</v>
      </c>
      <c r="B6" s="6" t="str">
        <f>Ricardo!A1</f>
        <v>Ricardo (Coveiro)</v>
      </c>
      <c r="C6" s="13">
        <f>Ricardo!E1</f>
        <v>61</v>
      </c>
      <c r="I6" s="6" t="s">
        <v>11</v>
      </c>
      <c r="J6" s="7">
        <v>100.0</v>
      </c>
    </row>
    <row r="7">
      <c r="A7" s="12">
        <v>5.0</v>
      </c>
      <c r="B7" s="6" t="str">
        <f>Raul!A1</f>
        <v>RAUL (ex-Coveiro) </v>
      </c>
      <c r="C7" s="13">
        <f>Raul!E1</f>
        <v>61</v>
      </c>
      <c r="I7" s="15" t="s">
        <v>12</v>
      </c>
      <c r="J7" s="7">
        <v>100.0</v>
      </c>
    </row>
    <row r="8">
      <c r="A8" s="16">
        <v>6.0</v>
      </c>
      <c r="B8" s="14" t="str">
        <f>Luan!A1</f>
        <v>Luan viado</v>
      </c>
      <c r="C8" s="13">
        <f>Luan!E1</f>
        <v>59</v>
      </c>
      <c r="I8" s="7" t="s">
        <v>13</v>
      </c>
      <c r="J8" s="7">
        <v>100.0</v>
      </c>
    </row>
    <row r="9">
      <c r="A9" s="12">
        <v>7.0</v>
      </c>
      <c r="B9" s="6" t="str">
        <f>'Bruno bizarro'!A1</f>
        <v>Bruno bizarro (letra ruim)</v>
      </c>
      <c r="C9" s="13">
        <f>'Bruno bizarro'!E1</f>
        <v>59</v>
      </c>
      <c r="I9" s="7" t="s">
        <v>14</v>
      </c>
      <c r="J9" s="7">
        <v>100.0</v>
      </c>
    </row>
    <row r="10">
      <c r="A10" s="12">
        <v>8.0</v>
      </c>
      <c r="B10" s="6" t="str">
        <f>Will!A1</f>
        <v>WILL</v>
      </c>
      <c r="C10" s="13">
        <f>Will!E1</f>
        <v>58</v>
      </c>
      <c r="I10" s="7" t="s">
        <v>15</v>
      </c>
      <c r="J10" s="7">
        <v>100.0</v>
      </c>
    </row>
    <row r="11">
      <c r="A11" s="12">
        <v>9.0</v>
      </c>
      <c r="B11" s="6" t="str">
        <f>Rayreis!A1</f>
        <v>Ray satanista</v>
      </c>
      <c r="C11" s="13">
        <f>Rayreis!E1</f>
        <v>50</v>
      </c>
      <c r="I11" s="7" t="s">
        <v>16</v>
      </c>
      <c r="J11" s="7">
        <v>100.0</v>
      </c>
    </row>
    <row r="12">
      <c r="A12" s="12">
        <v>10.0</v>
      </c>
      <c r="B12" s="6" t="str">
        <f>pixote!A1</f>
        <v>Pixote</v>
      </c>
      <c r="C12" s="13">
        <f>pixote!E1</f>
        <v>50</v>
      </c>
      <c r="I12" s="7">
        <v>0.0</v>
      </c>
      <c r="J12" s="7">
        <v>100.0</v>
      </c>
    </row>
    <row r="13">
      <c r="A13" s="12">
        <v>11.0</v>
      </c>
      <c r="B13" s="6" t="str">
        <f>Felipe!A1</f>
        <v>Felipe</v>
      </c>
      <c r="C13" s="13">
        <f>Felipe!E1</f>
        <v>50</v>
      </c>
      <c r="I13" s="7">
        <v>0.0</v>
      </c>
      <c r="J13" s="7">
        <v>100.0</v>
      </c>
    </row>
    <row r="14">
      <c r="A14" s="17">
        <v>12.0</v>
      </c>
      <c r="B14" s="18" t="str">
        <f>Lucas!A1</f>
        <v>Lucas aleatório</v>
      </c>
      <c r="C14" s="19">
        <f>Lucas!E1</f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B$2:$C$14">
    <sortState ref="B2:C14">
      <sortCondition descending="1" ref="C2:C14"/>
      <sortCondition descending="1" ref="B2:B14"/>
    </sortState>
  </autoFilter>
  <customSheetViews>
    <customSheetView guid="{E161FFB5-BD37-42CD-AF0C-19EBA6FC3078}" filter="1" showAutoFilter="1">
      <autoFilter ref="$B$2:$C$14"/>
      <extLst>
        <ext uri="GoogleSheetsCustomDataVersion1">
          <go:sheetsCustomData xmlns:go="http://customooxmlschemas.google.com/" filterViewId="125001240"/>
        </ext>
      </extLst>
    </customSheetView>
  </customSheetViews>
  <mergeCells count="2">
    <mergeCell ref="B1:C1"/>
    <mergeCell ref="E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</cols>
  <sheetData>
    <row r="1">
      <c r="A1" s="7" t="s">
        <v>3</v>
      </c>
      <c r="B1" s="20" t="s">
        <v>17</v>
      </c>
      <c r="C1" s="21" t="s">
        <v>18</v>
      </c>
    </row>
    <row r="2">
      <c r="A2" s="7" t="str">
        <f>Resumo!B3</f>
        <v>ANGELA</v>
      </c>
      <c r="B2" s="22">
        <f>Resumo!C3/Resumo!$F$5</f>
        <v>0.84</v>
      </c>
      <c r="C2" s="21">
        <f>((100/sum(Resumo!C:C))*Resumo!C3)/100</f>
        <v>0.1212121212</v>
      </c>
    </row>
    <row r="3">
      <c r="A3" s="7" t="str">
        <f>Resumo!B4</f>
        <v>RAY</v>
      </c>
      <c r="B3" s="22">
        <f>Resumo!C4/Resumo!$F$5</f>
        <v>0.74</v>
      </c>
      <c r="C3" s="21">
        <f>((100/sum(Resumo!C:C))*Resumo!C4)/100</f>
        <v>0.1067821068</v>
      </c>
    </row>
    <row r="4">
      <c r="A4" s="7" t="str">
        <f>Resumo!B5</f>
        <v>BOZSA</v>
      </c>
      <c r="B4" s="22">
        <f>Resumo!C5/Resumo!$F$5</f>
        <v>0.63</v>
      </c>
      <c r="C4" s="21">
        <f>((100/sum(Resumo!C:C))*Resumo!C5)/100</f>
        <v>0.09090909091</v>
      </c>
    </row>
    <row r="5">
      <c r="A5" s="7" t="str">
        <f>Resumo!B6</f>
        <v>Ricardo (Coveiro)</v>
      </c>
      <c r="B5" s="22">
        <f>Resumo!C6/Resumo!$F$5</f>
        <v>0.61</v>
      </c>
      <c r="C5" s="21">
        <f>((100/sum(Resumo!C:C))*Resumo!C6)/100</f>
        <v>0.08802308802</v>
      </c>
    </row>
    <row r="6">
      <c r="A6" s="7" t="str">
        <f>Resumo!B7</f>
        <v>RAUL (ex-Coveiro) </v>
      </c>
      <c r="B6" s="22">
        <f>Resumo!C7/Resumo!$F$5</f>
        <v>0.61</v>
      </c>
      <c r="C6" s="21">
        <f>((100/sum(Resumo!C:C))*Resumo!C7)/100</f>
        <v>0.08802308802</v>
      </c>
    </row>
    <row r="7">
      <c r="A7" s="7" t="str">
        <f>Resumo!B8</f>
        <v>Luan viado</v>
      </c>
      <c r="B7" s="22">
        <f>Resumo!C8/Resumo!$F$5</f>
        <v>0.59</v>
      </c>
      <c r="C7" s="21">
        <f>((100/sum(Resumo!C:C))*Resumo!C8)/100</f>
        <v>0.08513708514</v>
      </c>
    </row>
    <row r="8">
      <c r="A8" s="7" t="str">
        <f>Resumo!B9</f>
        <v>Bruno bizarro (letra ruim)</v>
      </c>
      <c r="B8" s="22">
        <f>Resumo!C9/Resumo!$F$5</f>
        <v>0.59</v>
      </c>
      <c r="C8" s="21">
        <f>((100/sum(Resumo!C:C))*Resumo!C9)/100</f>
        <v>0.08513708514</v>
      </c>
    </row>
    <row r="9">
      <c r="A9" s="7" t="str">
        <f>Resumo!B10</f>
        <v>WILL</v>
      </c>
      <c r="B9" s="22">
        <f>Resumo!C10/Resumo!$F$5</f>
        <v>0.58</v>
      </c>
      <c r="C9" s="21">
        <f>((100/sum(Resumo!C:C))*Resumo!C10)/100</f>
        <v>0.08369408369</v>
      </c>
    </row>
    <row r="10">
      <c r="A10" s="7" t="str">
        <f>Resumo!B11</f>
        <v>Ray satanista</v>
      </c>
      <c r="B10" s="22">
        <f>Resumo!C11/Resumo!$F$5</f>
        <v>0.5</v>
      </c>
      <c r="C10" s="21">
        <f>((100/sum(Resumo!C:C))*Resumo!C11)/100</f>
        <v>0.07215007215</v>
      </c>
    </row>
    <row r="11">
      <c r="A11" s="7" t="str">
        <f>Resumo!B12</f>
        <v>Pixote</v>
      </c>
      <c r="B11" s="22">
        <f>Resumo!C12/Resumo!$F$5</f>
        <v>0.5</v>
      </c>
      <c r="C11" s="21">
        <f>((100/sum(Resumo!C:C))*Resumo!C12)/100</f>
        <v>0.07215007215</v>
      </c>
    </row>
    <row r="12">
      <c r="A12" s="7" t="str">
        <f>Resumo!B13</f>
        <v>Felipe</v>
      </c>
      <c r="B12" s="22">
        <f>Resumo!C13/Resumo!$F$5</f>
        <v>0.5</v>
      </c>
      <c r="C12" s="21">
        <f>((100/sum(Resumo!C:C))*Resumo!C13)/100</f>
        <v>0.07215007215</v>
      </c>
    </row>
    <row r="13">
      <c r="A13" s="7" t="str">
        <f>Resumo!B14</f>
        <v>Lucas aleatório</v>
      </c>
      <c r="B13" s="22">
        <f>Resumo!C14/Resumo!$F$5</f>
        <v>0.24</v>
      </c>
      <c r="C13" s="21">
        <f>((100/sum(Resumo!C:C))*Resumo!C14)/100</f>
        <v>0.03463203463</v>
      </c>
    </row>
    <row r="14">
      <c r="A14" s="7"/>
      <c r="B14" s="22"/>
      <c r="C14" s="21"/>
    </row>
    <row r="15">
      <c r="A15" s="7"/>
      <c r="B15" s="22"/>
      <c r="C15" s="21"/>
    </row>
    <row r="16">
      <c r="A16" s="7"/>
      <c r="B16" s="22"/>
      <c r="C16" s="21"/>
    </row>
    <row r="17">
      <c r="B17" s="22"/>
      <c r="C17" s="21"/>
    </row>
    <row r="18">
      <c r="B18" s="22"/>
      <c r="C18" s="21"/>
    </row>
    <row r="19">
      <c r="B19" s="22"/>
      <c r="C19" s="21"/>
    </row>
    <row r="20">
      <c r="B20" s="22"/>
      <c r="C20" s="21"/>
    </row>
    <row r="21">
      <c r="B21" s="22"/>
      <c r="C21" s="21"/>
    </row>
    <row r="22">
      <c r="B22" s="22"/>
      <c r="C22" s="21"/>
    </row>
    <row r="23">
      <c r="B23" s="22"/>
      <c r="C23" s="21"/>
    </row>
    <row r="24">
      <c r="B24" s="22"/>
      <c r="C24" s="21"/>
    </row>
    <row r="25">
      <c r="B25" s="22"/>
      <c r="C25" s="21"/>
    </row>
    <row r="26">
      <c r="B26" s="22"/>
      <c r="C26" s="21"/>
    </row>
    <row r="27">
      <c r="B27" s="22"/>
      <c r="C27" s="21"/>
    </row>
    <row r="28">
      <c r="B28" s="22"/>
      <c r="C28" s="21"/>
    </row>
    <row r="29">
      <c r="B29" s="22"/>
      <c r="C29" s="21"/>
    </row>
    <row r="30">
      <c r="B30" s="22"/>
      <c r="C30" s="21"/>
    </row>
    <row r="31">
      <c r="B31" s="22"/>
      <c r="C31" s="21"/>
    </row>
    <row r="32">
      <c r="B32" s="22"/>
      <c r="C32" s="21"/>
    </row>
    <row r="33">
      <c r="B33" s="22"/>
      <c r="C33" s="21"/>
    </row>
    <row r="34">
      <c r="B34" s="22"/>
      <c r="C34" s="21"/>
    </row>
    <row r="35">
      <c r="B35" s="22"/>
      <c r="C35" s="21"/>
    </row>
    <row r="36">
      <c r="B36" s="22"/>
      <c r="C36" s="21"/>
    </row>
    <row r="37">
      <c r="B37" s="22"/>
      <c r="C37" s="21"/>
    </row>
    <row r="38">
      <c r="B38" s="22"/>
      <c r="C38" s="21"/>
    </row>
    <row r="39">
      <c r="B39" s="22"/>
      <c r="C39" s="21"/>
    </row>
    <row r="40">
      <c r="B40" s="22"/>
      <c r="C40" s="21"/>
    </row>
    <row r="41">
      <c r="B41" s="22"/>
      <c r="C41" s="21"/>
    </row>
    <row r="42">
      <c r="B42" s="22"/>
      <c r="C42" s="21"/>
    </row>
    <row r="43">
      <c r="B43" s="22"/>
      <c r="C43" s="21"/>
    </row>
    <row r="44">
      <c r="B44" s="22"/>
      <c r="C44" s="21"/>
    </row>
    <row r="45">
      <c r="B45" s="22"/>
      <c r="C45" s="21"/>
    </row>
    <row r="46">
      <c r="B46" s="22"/>
      <c r="C46" s="21"/>
    </row>
    <row r="47">
      <c r="B47" s="22"/>
      <c r="C47" s="21"/>
    </row>
    <row r="48">
      <c r="B48" s="22"/>
      <c r="C48" s="21"/>
    </row>
    <row r="49">
      <c r="B49" s="22"/>
      <c r="C49" s="21"/>
    </row>
    <row r="50">
      <c r="B50" s="22"/>
      <c r="C50" s="21"/>
    </row>
    <row r="51">
      <c r="B51" s="22"/>
      <c r="C51" s="21"/>
    </row>
    <row r="52">
      <c r="B52" s="22"/>
      <c r="C52" s="21"/>
    </row>
    <row r="53">
      <c r="B53" s="22"/>
      <c r="C53" s="21"/>
    </row>
    <row r="54">
      <c r="B54" s="22"/>
      <c r="C54" s="21"/>
    </row>
    <row r="55">
      <c r="B55" s="22"/>
      <c r="C55" s="21"/>
    </row>
    <row r="56">
      <c r="B56" s="22"/>
      <c r="C56" s="21"/>
    </row>
    <row r="57">
      <c r="B57" s="22"/>
      <c r="C57" s="21"/>
    </row>
    <row r="58">
      <c r="B58" s="22"/>
      <c r="C58" s="21"/>
    </row>
    <row r="59">
      <c r="B59" s="22"/>
      <c r="C59" s="21"/>
    </row>
    <row r="60">
      <c r="B60" s="22"/>
      <c r="C60" s="21"/>
    </row>
    <row r="61">
      <c r="B61" s="22"/>
      <c r="C61" s="21"/>
    </row>
    <row r="62">
      <c r="B62" s="22"/>
      <c r="C62" s="21"/>
    </row>
    <row r="63">
      <c r="B63" s="22"/>
      <c r="C63" s="21"/>
    </row>
    <row r="64">
      <c r="B64" s="22"/>
      <c r="C64" s="21"/>
    </row>
    <row r="65">
      <c r="B65" s="22"/>
      <c r="C65" s="21"/>
    </row>
    <row r="66">
      <c r="B66" s="22"/>
      <c r="C66" s="21"/>
    </row>
    <row r="67">
      <c r="B67" s="22"/>
      <c r="C67" s="21"/>
    </row>
    <row r="68">
      <c r="B68" s="22"/>
      <c r="C68" s="21"/>
    </row>
    <row r="69">
      <c r="B69" s="22"/>
      <c r="C69" s="21"/>
    </row>
    <row r="70">
      <c r="B70" s="22"/>
      <c r="C70" s="21"/>
    </row>
    <row r="71">
      <c r="B71" s="22"/>
      <c r="C71" s="21"/>
    </row>
    <row r="72">
      <c r="B72" s="22"/>
      <c r="C72" s="21"/>
    </row>
    <row r="73">
      <c r="B73" s="22"/>
      <c r="C73" s="21"/>
    </row>
    <row r="74">
      <c r="B74" s="22"/>
      <c r="C74" s="21"/>
    </row>
    <row r="75">
      <c r="B75" s="22"/>
      <c r="C75" s="21"/>
    </row>
    <row r="76">
      <c r="B76" s="22"/>
      <c r="C76" s="21"/>
    </row>
    <row r="77">
      <c r="B77" s="22"/>
      <c r="C77" s="21"/>
    </row>
    <row r="78">
      <c r="B78" s="22"/>
      <c r="C78" s="21"/>
    </row>
    <row r="79">
      <c r="B79" s="22"/>
      <c r="C79" s="21"/>
    </row>
    <row r="80">
      <c r="B80" s="22"/>
      <c r="C80" s="21"/>
    </row>
    <row r="81">
      <c r="B81" s="22"/>
      <c r="C81" s="21"/>
    </row>
    <row r="82">
      <c r="B82" s="22"/>
      <c r="C82" s="21"/>
    </row>
    <row r="83">
      <c r="B83" s="22"/>
      <c r="C83" s="21"/>
    </row>
    <row r="84">
      <c r="B84" s="22"/>
      <c r="C84" s="21"/>
    </row>
    <row r="85">
      <c r="B85" s="22"/>
      <c r="C85" s="21"/>
    </row>
    <row r="86">
      <c r="B86" s="22"/>
      <c r="C86" s="21"/>
    </row>
    <row r="87">
      <c r="B87" s="22"/>
      <c r="C87" s="21"/>
    </row>
    <row r="88">
      <c r="B88" s="22"/>
      <c r="C88" s="21"/>
    </row>
    <row r="89">
      <c r="B89" s="22"/>
      <c r="C89" s="21"/>
    </row>
    <row r="90">
      <c r="B90" s="22"/>
      <c r="C90" s="21"/>
    </row>
    <row r="91">
      <c r="B91" s="22"/>
      <c r="C91" s="21"/>
    </row>
    <row r="92">
      <c r="B92" s="22"/>
      <c r="C92" s="21"/>
    </row>
    <row r="93">
      <c r="B93" s="22"/>
      <c r="C93" s="21"/>
    </row>
    <row r="94">
      <c r="B94" s="22"/>
      <c r="C94" s="21"/>
    </row>
    <row r="95">
      <c r="B95" s="22"/>
      <c r="C95" s="21"/>
    </row>
    <row r="96">
      <c r="B96" s="22"/>
      <c r="C96" s="21"/>
    </row>
    <row r="97">
      <c r="B97" s="22"/>
      <c r="C97" s="21"/>
    </row>
    <row r="98">
      <c r="B98" s="22"/>
      <c r="C98" s="21"/>
    </row>
    <row r="99">
      <c r="B99" s="22"/>
      <c r="C99" s="21"/>
    </row>
    <row r="100">
      <c r="B100" s="22"/>
      <c r="C100" s="21"/>
    </row>
    <row r="101">
      <c r="B101" s="22"/>
      <c r="C101" s="21"/>
    </row>
    <row r="102">
      <c r="B102" s="22"/>
      <c r="C102" s="21"/>
    </row>
    <row r="103">
      <c r="B103" s="22"/>
      <c r="C103" s="21"/>
    </row>
    <row r="104">
      <c r="B104" s="22"/>
      <c r="C104" s="21"/>
    </row>
    <row r="105">
      <c r="B105" s="22"/>
      <c r="C105" s="21"/>
    </row>
    <row r="106">
      <c r="B106" s="22"/>
      <c r="C106" s="21"/>
    </row>
    <row r="107">
      <c r="B107" s="22"/>
      <c r="C107" s="21"/>
    </row>
    <row r="108">
      <c r="B108" s="22"/>
      <c r="C108" s="21"/>
    </row>
    <row r="109">
      <c r="B109" s="22"/>
      <c r="C109" s="21"/>
    </row>
    <row r="110">
      <c r="B110" s="22"/>
      <c r="C110" s="21"/>
    </row>
    <row r="111">
      <c r="B111" s="22"/>
      <c r="C111" s="21"/>
    </row>
    <row r="112">
      <c r="B112" s="22"/>
      <c r="C112" s="21"/>
    </row>
    <row r="113">
      <c r="B113" s="22"/>
      <c r="C113" s="21"/>
    </row>
    <row r="114">
      <c r="B114" s="22"/>
      <c r="C114" s="21"/>
    </row>
    <row r="115">
      <c r="B115" s="22"/>
      <c r="C115" s="21"/>
    </row>
    <row r="116">
      <c r="B116" s="22"/>
      <c r="C116" s="21"/>
    </row>
    <row r="117">
      <c r="B117" s="22"/>
      <c r="C117" s="21"/>
    </row>
    <row r="118">
      <c r="B118" s="22"/>
      <c r="C118" s="21"/>
    </row>
    <row r="119">
      <c r="B119" s="22"/>
      <c r="C119" s="21"/>
    </row>
    <row r="120">
      <c r="B120" s="22"/>
      <c r="C120" s="21"/>
    </row>
    <row r="121">
      <c r="B121" s="22"/>
      <c r="C121" s="21"/>
    </row>
    <row r="122">
      <c r="B122" s="22"/>
      <c r="C122" s="21"/>
    </row>
    <row r="123">
      <c r="B123" s="22"/>
      <c r="C123" s="21"/>
    </row>
    <row r="124">
      <c r="B124" s="22"/>
      <c r="C124" s="21"/>
    </row>
    <row r="125">
      <c r="B125" s="22"/>
      <c r="C125" s="21"/>
    </row>
    <row r="126">
      <c r="B126" s="22"/>
      <c r="C126" s="21"/>
    </row>
    <row r="127">
      <c r="B127" s="22"/>
      <c r="C127" s="21"/>
    </row>
    <row r="128">
      <c r="B128" s="22"/>
      <c r="C128" s="21"/>
    </row>
    <row r="129">
      <c r="B129" s="22"/>
      <c r="C129" s="21"/>
    </row>
    <row r="130">
      <c r="B130" s="22"/>
      <c r="C130" s="21"/>
    </row>
    <row r="131">
      <c r="B131" s="22"/>
      <c r="C131" s="21"/>
    </row>
    <row r="132">
      <c r="B132" s="22"/>
      <c r="C132" s="21"/>
    </row>
    <row r="133">
      <c r="B133" s="22"/>
      <c r="C133" s="21"/>
    </row>
    <row r="134">
      <c r="B134" s="22"/>
      <c r="C134" s="21"/>
    </row>
    <row r="135">
      <c r="B135" s="22"/>
      <c r="C135" s="21"/>
    </row>
    <row r="136">
      <c r="B136" s="22"/>
      <c r="C136" s="21"/>
    </row>
    <row r="137">
      <c r="B137" s="22"/>
      <c r="C137" s="21"/>
    </row>
    <row r="138">
      <c r="B138" s="22"/>
      <c r="C138" s="21"/>
    </row>
    <row r="139">
      <c r="B139" s="22"/>
      <c r="C139" s="21"/>
    </row>
    <row r="140">
      <c r="B140" s="22"/>
      <c r="C140" s="21"/>
    </row>
    <row r="141">
      <c r="B141" s="22"/>
      <c r="C141" s="21"/>
    </row>
    <row r="142">
      <c r="B142" s="22"/>
      <c r="C142" s="21"/>
    </row>
    <row r="143">
      <c r="B143" s="22"/>
      <c r="C143" s="21"/>
    </row>
    <row r="144">
      <c r="B144" s="22"/>
      <c r="C144" s="21"/>
    </row>
    <row r="145">
      <c r="B145" s="22"/>
      <c r="C145" s="21"/>
    </row>
    <row r="146">
      <c r="B146" s="22"/>
      <c r="C146" s="21"/>
    </row>
    <row r="147">
      <c r="B147" s="22"/>
      <c r="C147" s="21"/>
    </row>
    <row r="148">
      <c r="B148" s="22"/>
      <c r="C148" s="21"/>
    </row>
    <row r="149">
      <c r="B149" s="22"/>
      <c r="C149" s="21"/>
    </row>
    <row r="150">
      <c r="B150" s="22"/>
      <c r="C150" s="21"/>
    </row>
    <row r="151">
      <c r="B151" s="22"/>
      <c r="C151" s="21"/>
    </row>
    <row r="152">
      <c r="B152" s="22"/>
      <c r="C152" s="21"/>
    </row>
    <row r="153">
      <c r="B153" s="22"/>
      <c r="C153" s="21"/>
    </row>
    <row r="154">
      <c r="B154" s="22"/>
      <c r="C154" s="21"/>
    </row>
    <row r="155">
      <c r="B155" s="22"/>
      <c r="C155" s="21"/>
    </row>
    <row r="156">
      <c r="B156" s="22"/>
      <c r="C156" s="21"/>
    </row>
    <row r="157">
      <c r="B157" s="22"/>
      <c r="C157" s="21"/>
    </row>
    <row r="158">
      <c r="B158" s="22"/>
      <c r="C158" s="21"/>
    </row>
    <row r="159">
      <c r="B159" s="22"/>
      <c r="C159" s="21"/>
    </row>
    <row r="160">
      <c r="B160" s="22"/>
      <c r="C160" s="21"/>
    </row>
    <row r="161">
      <c r="B161" s="22"/>
      <c r="C161" s="21"/>
    </row>
    <row r="162">
      <c r="B162" s="22"/>
      <c r="C162" s="21"/>
    </row>
    <row r="163">
      <c r="B163" s="22"/>
      <c r="C163" s="21"/>
    </row>
    <row r="164">
      <c r="B164" s="22"/>
      <c r="C164" s="21"/>
    </row>
    <row r="165">
      <c r="B165" s="22"/>
      <c r="C165" s="21"/>
    </row>
    <row r="166">
      <c r="B166" s="22"/>
      <c r="C166" s="21"/>
    </row>
    <row r="167">
      <c r="B167" s="22"/>
      <c r="C167" s="21"/>
    </row>
    <row r="168">
      <c r="B168" s="22"/>
      <c r="C168" s="21"/>
    </row>
    <row r="169">
      <c r="B169" s="22"/>
      <c r="C169" s="21"/>
    </row>
    <row r="170">
      <c r="B170" s="22"/>
      <c r="C170" s="21"/>
    </row>
    <row r="171">
      <c r="B171" s="22"/>
      <c r="C171" s="21"/>
    </row>
    <row r="172">
      <c r="B172" s="22"/>
      <c r="C172" s="21"/>
    </row>
    <row r="173">
      <c r="B173" s="22"/>
      <c r="C173" s="21"/>
    </row>
    <row r="174">
      <c r="B174" s="22"/>
      <c r="C174" s="21"/>
    </row>
    <row r="175">
      <c r="B175" s="22"/>
      <c r="C175" s="21"/>
    </row>
    <row r="176">
      <c r="B176" s="22"/>
      <c r="C176" s="21"/>
    </row>
    <row r="177">
      <c r="B177" s="22"/>
      <c r="C177" s="21"/>
    </row>
    <row r="178">
      <c r="B178" s="22"/>
      <c r="C178" s="21"/>
    </row>
    <row r="179">
      <c r="B179" s="22"/>
      <c r="C179" s="21"/>
    </row>
    <row r="180">
      <c r="B180" s="22"/>
      <c r="C180" s="21"/>
    </row>
    <row r="181">
      <c r="B181" s="22"/>
      <c r="C181" s="21"/>
    </row>
    <row r="182">
      <c r="B182" s="22"/>
      <c r="C182" s="21"/>
    </row>
    <row r="183">
      <c r="B183" s="22"/>
      <c r="C183" s="21"/>
    </row>
    <row r="184">
      <c r="B184" s="22"/>
      <c r="C184" s="21"/>
    </row>
    <row r="185">
      <c r="B185" s="22"/>
      <c r="C185" s="21"/>
    </row>
    <row r="186">
      <c r="B186" s="22"/>
      <c r="C186" s="21"/>
    </row>
    <row r="187">
      <c r="B187" s="22"/>
      <c r="C187" s="21"/>
    </row>
    <row r="188">
      <c r="B188" s="22"/>
      <c r="C188" s="21"/>
    </row>
    <row r="189">
      <c r="B189" s="22"/>
      <c r="C189" s="21"/>
    </row>
    <row r="190">
      <c r="B190" s="22"/>
      <c r="C190" s="21"/>
    </row>
    <row r="191">
      <c r="B191" s="22"/>
      <c r="C191" s="21"/>
    </row>
    <row r="192">
      <c r="B192" s="22"/>
      <c r="C192" s="21"/>
    </row>
    <row r="193">
      <c r="B193" s="22"/>
      <c r="C193" s="21"/>
    </row>
    <row r="194">
      <c r="B194" s="22"/>
      <c r="C194" s="21"/>
    </row>
    <row r="195">
      <c r="B195" s="22"/>
      <c r="C195" s="21"/>
    </row>
    <row r="196">
      <c r="B196" s="22"/>
      <c r="C196" s="21"/>
    </row>
    <row r="197">
      <c r="B197" s="22"/>
      <c r="C197" s="21"/>
    </row>
    <row r="198">
      <c r="B198" s="22"/>
      <c r="C198" s="21"/>
    </row>
    <row r="199">
      <c r="B199" s="22"/>
      <c r="C199" s="21"/>
    </row>
    <row r="200">
      <c r="B200" s="22"/>
      <c r="C200" s="21"/>
    </row>
    <row r="201">
      <c r="B201" s="22"/>
      <c r="C201" s="21"/>
    </row>
    <row r="202">
      <c r="B202" s="22"/>
      <c r="C202" s="21"/>
    </row>
    <row r="203">
      <c r="B203" s="22"/>
      <c r="C203" s="21"/>
    </row>
    <row r="204">
      <c r="B204" s="22"/>
      <c r="C204" s="21"/>
    </row>
    <row r="205">
      <c r="B205" s="22"/>
      <c r="C205" s="21"/>
    </row>
    <row r="206">
      <c r="B206" s="22"/>
      <c r="C206" s="21"/>
    </row>
    <row r="207">
      <c r="B207" s="22"/>
      <c r="C207" s="21"/>
    </row>
    <row r="208">
      <c r="B208" s="22"/>
      <c r="C208" s="21"/>
    </row>
    <row r="209">
      <c r="B209" s="22"/>
      <c r="C209" s="21"/>
    </row>
    <row r="210">
      <c r="B210" s="22"/>
      <c r="C210" s="21"/>
    </row>
    <row r="211">
      <c r="B211" s="22"/>
      <c r="C211" s="21"/>
    </row>
    <row r="212">
      <c r="B212" s="22"/>
      <c r="C212" s="21"/>
    </row>
    <row r="213">
      <c r="B213" s="22"/>
      <c r="C213" s="21"/>
    </row>
    <row r="214">
      <c r="B214" s="22"/>
      <c r="C214" s="21"/>
    </row>
    <row r="215">
      <c r="B215" s="22"/>
      <c r="C215" s="21"/>
    </row>
    <row r="216">
      <c r="B216" s="22"/>
      <c r="C216" s="21"/>
    </row>
    <row r="217">
      <c r="B217" s="22"/>
      <c r="C217" s="21"/>
    </row>
    <row r="218">
      <c r="B218" s="22"/>
      <c r="C218" s="21"/>
    </row>
    <row r="219">
      <c r="B219" s="22"/>
      <c r="C219" s="21"/>
    </row>
    <row r="220">
      <c r="B220" s="22"/>
      <c r="C220" s="21"/>
    </row>
    <row r="221">
      <c r="B221" s="22"/>
      <c r="C221" s="21"/>
    </row>
    <row r="222">
      <c r="B222" s="22"/>
      <c r="C222" s="21"/>
    </row>
    <row r="223">
      <c r="B223" s="22"/>
      <c r="C223" s="21"/>
    </row>
    <row r="224">
      <c r="B224" s="22"/>
      <c r="C224" s="21"/>
    </row>
    <row r="225">
      <c r="B225" s="22"/>
      <c r="C225" s="21"/>
    </row>
    <row r="226">
      <c r="B226" s="22"/>
      <c r="C226" s="21"/>
    </row>
    <row r="227">
      <c r="B227" s="22"/>
      <c r="C227" s="21"/>
    </row>
    <row r="228">
      <c r="B228" s="22"/>
      <c r="C228" s="21"/>
    </row>
    <row r="229">
      <c r="B229" s="22"/>
      <c r="C229" s="21"/>
    </row>
    <row r="230">
      <c r="B230" s="22"/>
      <c r="C230" s="21"/>
    </row>
    <row r="231">
      <c r="B231" s="22"/>
      <c r="C231" s="21"/>
    </row>
    <row r="232">
      <c r="B232" s="22"/>
      <c r="C232" s="21"/>
    </row>
    <row r="233">
      <c r="B233" s="22"/>
      <c r="C233" s="21"/>
    </row>
    <row r="234">
      <c r="B234" s="22"/>
      <c r="C234" s="21"/>
    </row>
    <row r="235">
      <c r="B235" s="22"/>
      <c r="C235" s="21"/>
    </row>
    <row r="236">
      <c r="B236" s="22"/>
      <c r="C236" s="21"/>
    </row>
    <row r="237">
      <c r="B237" s="22"/>
      <c r="C237" s="21"/>
    </row>
    <row r="238">
      <c r="B238" s="22"/>
      <c r="C238" s="21"/>
    </row>
    <row r="239">
      <c r="B239" s="22"/>
      <c r="C239" s="21"/>
    </row>
    <row r="240">
      <c r="B240" s="22"/>
      <c r="C240" s="21"/>
    </row>
    <row r="241">
      <c r="B241" s="22"/>
      <c r="C241" s="21"/>
    </row>
    <row r="242">
      <c r="B242" s="22"/>
      <c r="C242" s="21"/>
    </row>
    <row r="243">
      <c r="B243" s="22"/>
      <c r="C243" s="21"/>
    </row>
    <row r="244">
      <c r="B244" s="22"/>
      <c r="C244" s="21"/>
    </row>
    <row r="245">
      <c r="B245" s="22"/>
      <c r="C245" s="21"/>
    </row>
    <row r="246">
      <c r="B246" s="22"/>
      <c r="C246" s="21"/>
    </row>
    <row r="247">
      <c r="B247" s="22"/>
      <c r="C247" s="21"/>
    </row>
    <row r="248">
      <c r="B248" s="22"/>
      <c r="C248" s="21"/>
    </row>
    <row r="249">
      <c r="B249" s="22"/>
      <c r="C249" s="21"/>
    </row>
    <row r="250">
      <c r="B250" s="22"/>
      <c r="C250" s="21"/>
    </row>
    <row r="251">
      <c r="B251" s="22"/>
      <c r="C251" s="21"/>
    </row>
    <row r="252">
      <c r="B252" s="22"/>
      <c r="C252" s="21"/>
    </row>
    <row r="253">
      <c r="B253" s="22"/>
      <c r="C253" s="21"/>
    </row>
    <row r="254">
      <c r="B254" s="22"/>
      <c r="C254" s="21"/>
    </row>
    <row r="255">
      <c r="B255" s="22"/>
      <c r="C255" s="21"/>
    </row>
    <row r="256">
      <c r="B256" s="22"/>
      <c r="C256" s="21"/>
    </row>
    <row r="257">
      <c r="B257" s="22"/>
      <c r="C257" s="21"/>
    </row>
    <row r="258">
      <c r="B258" s="22"/>
      <c r="C258" s="21"/>
    </row>
    <row r="259">
      <c r="B259" s="22"/>
      <c r="C259" s="21"/>
    </row>
    <row r="260">
      <c r="B260" s="22"/>
      <c r="C260" s="21"/>
    </row>
    <row r="261">
      <c r="B261" s="22"/>
      <c r="C261" s="21"/>
    </row>
    <row r="262">
      <c r="B262" s="22"/>
      <c r="C262" s="21"/>
    </row>
    <row r="263">
      <c r="B263" s="22"/>
      <c r="C263" s="21"/>
    </row>
    <row r="264">
      <c r="B264" s="22"/>
      <c r="C264" s="21"/>
    </row>
    <row r="265">
      <c r="B265" s="22"/>
      <c r="C265" s="21"/>
    </row>
    <row r="266">
      <c r="B266" s="22"/>
      <c r="C266" s="21"/>
    </row>
    <row r="267">
      <c r="B267" s="22"/>
      <c r="C267" s="21"/>
    </row>
    <row r="268">
      <c r="B268" s="22"/>
      <c r="C268" s="21"/>
    </row>
    <row r="269">
      <c r="B269" s="22"/>
      <c r="C269" s="21"/>
    </row>
    <row r="270">
      <c r="B270" s="22"/>
      <c r="C270" s="21"/>
    </row>
    <row r="271">
      <c r="B271" s="22"/>
      <c r="C271" s="21"/>
    </row>
    <row r="272">
      <c r="B272" s="22"/>
      <c r="C272" s="21"/>
    </row>
    <row r="273">
      <c r="B273" s="22"/>
      <c r="C273" s="21"/>
    </row>
    <row r="274">
      <c r="B274" s="22"/>
      <c r="C274" s="21"/>
    </row>
    <row r="275">
      <c r="B275" s="22"/>
      <c r="C275" s="21"/>
    </row>
    <row r="276">
      <c r="B276" s="22"/>
      <c r="C276" s="21"/>
    </row>
    <row r="277">
      <c r="B277" s="22"/>
      <c r="C277" s="21"/>
    </row>
    <row r="278">
      <c r="B278" s="22"/>
      <c r="C278" s="21"/>
    </row>
    <row r="279">
      <c r="B279" s="22"/>
      <c r="C279" s="21"/>
    </row>
    <row r="280">
      <c r="B280" s="22"/>
      <c r="C280" s="21"/>
    </row>
    <row r="281">
      <c r="B281" s="22"/>
      <c r="C281" s="21"/>
    </row>
    <row r="282">
      <c r="B282" s="22"/>
      <c r="C282" s="21"/>
    </row>
    <row r="283">
      <c r="B283" s="22"/>
      <c r="C283" s="21"/>
    </row>
    <row r="284">
      <c r="B284" s="22"/>
      <c r="C284" s="21"/>
    </row>
    <row r="285">
      <c r="B285" s="22"/>
      <c r="C285" s="21"/>
    </row>
    <row r="286">
      <c r="B286" s="22"/>
      <c r="C286" s="21"/>
    </row>
    <row r="287">
      <c r="B287" s="22"/>
      <c r="C287" s="21"/>
    </row>
    <row r="288">
      <c r="B288" s="22"/>
      <c r="C288" s="21"/>
    </row>
    <row r="289">
      <c r="B289" s="22"/>
      <c r="C289" s="21"/>
    </row>
    <row r="290">
      <c r="B290" s="22"/>
      <c r="C290" s="21"/>
    </row>
    <row r="291">
      <c r="B291" s="22"/>
      <c r="C291" s="21"/>
    </row>
    <row r="292">
      <c r="B292" s="22"/>
      <c r="C292" s="21"/>
    </row>
    <row r="293">
      <c r="B293" s="22"/>
      <c r="C293" s="21"/>
    </row>
    <row r="294">
      <c r="B294" s="22"/>
      <c r="C294" s="21"/>
    </row>
    <row r="295">
      <c r="B295" s="22"/>
      <c r="C295" s="21"/>
    </row>
    <row r="296">
      <c r="B296" s="22"/>
      <c r="C296" s="21"/>
    </row>
    <row r="297">
      <c r="B297" s="22"/>
      <c r="C297" s="21"/>
    </row>
    <row r="298">
      <c r="B298" s="22"/>
      <c r="C298" s="21"/>
    </row>
    <row r="299">
      <c r="B299" s="22"/>
      <c r="C299" s="21"/>
    </row>
    <row r="300">
      <c r="B300" s="22"/>
      <c r="C300" s="21"/>
    </row>
    <row r="301">
      <c r="B301" s="22"/>
      <c r="C301" s="21"/>
    </row>
    <row r="302">
      <c r="B302" s="22"/>
      <c r="C302" s="21"/>
    </row>
    <row r="303">
      <c r="B303" s="22"/>
      <c r="C303" s="21"/>
    </row>
    <row r="304">
      <c r="B304" s="22"/>
      <c r="C304" s="21"/>
    </row>
    <row r="305">
      <c r="B305" s="22"/>
      <c r="C305" s="21"/>
    </row>
    <row r="306">
      <c r="B306" s="22"/>
      <c r="C306" s="21"/>
    </row>
    <row r="307">
      <c r="B307" s="22"/>
      <c r="C307" s="21"/>
    </row>
    <row r="308">
      <c r="B308" s="22"/>
      <c r="C308" s="21"/>
    </row>
    <row r="309">
      <c r="B309" s="22"/>
      <c r="C309" s="21"/>
    </row>
    <row r="310">
      <c r="B310" s="22"/>
      <c r="C310" s="21"/>
    </row>
    <row r="311">
      <c r="B311" s="22"/>
      <c r="C311" s="21"/>
    </row>
    <row r="312">
      <c r="B312" s="22"/>
      <c r="C312" s="21"/>
    </row>
    <row r="313">
      <c r="B313" s="22"/>
      <c r="C313" s="21"/>
    </row>
    <row r="314">
      <c r="B314" s="22"/>
      <c r="C314" s="21"/>
    </row>
    <row r="315">
      <c r="B315" s="22"/>
      <c r="C315" s="21"/>
    </row>
    <row r="316">
      <c r="B316" s="22"/>
      <c r="C316" s="21"/>
    </row>
    <row r="317">
      <c r="B317" s="22"/>
      <c r="C317" s="21"/>
    </row>
    <row r="318">
      <c r="B318" s="22"/>
      <c r="C318" s="21"/>
    </row>
    <row r="319">
      <c r="B319" s="22"/>
      <c r="C319" s="21"/>
    </row>
    <row r="320">
      <c r="B320" s="22"/>
      <c r="C320" s="21"/>
    </row>
    <row r="321">
      <c r="B321" s="22"/>
      <c r="C321" s="21"/>
    </row>
    <row r="322">
      <c r="B322" s="22"/>
      <c r="C322" s="21"/>
    </row>
    <row r="323">
      <c r="B323" s="22"/>
      <c r="C323" s="21"/>
    </row>
    <row r="324">
      <c r="B324" s="22"/>
      <c r="C324" s="21"/>
    </row>
    <row r="325">
      <c r="B325" s="22"/>
      <c r="C325" s="21"/>
    </row>
    <row r="326">
      <c r="B326" s="22"/>
      <c r="C326" s="21"/>
    </row>
    <row r="327">
      <c r="B327" s="22"/>
      <c r="C327" s="21"/>
    </row>
    <row r="328">
      <c r="B328" s="22"/>
      <c r="C328" s="21"/>
    </row>
    <row r="329">
      <c r="B329" s="22"/>
      <c r="C329" s="21"/>
    </row>
    <row r="330">
      <c r="B330" s="22"/>
      <c r="C330" s="21"/>
    </row>
    <row r="331">
      <c r="B331" s="22"/>
      <c r="C331" s="21"/>
    </row>
    <row r="332">
      <c r="B332" s="22"/>
      <c r="C332" s="21"/>
    </row>
    <row r="333">
      <c r="B333" s="22"/>
      <c r="C333" s="21"/>
    </row>
    <row r="334">
      <c r="B334" s="22"/>
      <c r="C334" s="21"/>
    </row>
    <row r="335">
      <c r="B335" s="22"/>
      <c r="C335" s="21"/>
    </row>
    <row r="336">
      <c r="B336" s="22"/>
      <c r="C336" s="21"/>
    </row>
    <row r="337">
      <c r="B337" s="22"/>
      <c r="C337" s="21"/>
    </row>
    <row r="338">
      <c r="B338" s="22"/>
      <c r="C338" s="21"/>
    </row>
    <row r="339">
      <c r="B339" s="22"/>
      <c r="C339" s="21"/>
    </row>
    <row r="340">
      <c r="B340" s="22"/>
      <c r="C340" s="21"/>
    </row>
    <row r="341">
      <c r="B341" s="22"/>
      <c r="C341" s="21"/>
    </row>
    <row r="342">
      <c r="B342" s="22"/>
      <c r="C342" s="21"/>
    </row>
    <row r="343">
      <c r="B343" s="22"/>
      <c r="C343" s="21"/>
    </row>
    <row r="344">
      <c r="B344" s="22"/>
      <c r="C344" s="21"/>
    </row>
    <row r="345">
      <c r="B345" s="22"/>
      <c r="C345" s="21"/>
    </row>
    <row r="346">
      <c r="B346" s="22"/>
      <c r="C346" s="21"/>
    </row>
    <row r="347">
      <c r="B347" s="22"/>
      <c r="C347" s="21"/>
    </row>
    <row r="348">
      <c r="B348" s="22"/>
      <c r="C348" s="21"/>
    </row>
    <row r="349">
      <c r="B349" s="22"/>
      <c r="C349" s="21"/>
    </row>
    <row r="350">
      <c r="B350" s="22"/>
      <c r="C350" s="21"/>
    </row>
    <row r="351">
      <c r="B351" s="22"/>
      <c r="C351" s="21"/>
    </row>
    <row r="352">
      <c r="B352" s="22"/>
      <c r="C352" s="21"/>
    </row>
    <row r="353">
      <c r="B353" s="22"/>
      <c r="C353" s="21"/>
    </row>
    <row r="354">
      <c r="B354" s="22"/>
      <c r="C354" s="21"/>
    </row>
    <row r="355">
      <c r="B355" s="22"/>
      <c r="C355" s="21"/>
    </row>
    <row r="356">
      <c r="B356" s="22"/>
      <c r="C356" s="21"/>
    </row>
    <row r="357">
      <c r="B357" s="22"/>
      <c r="C357" s="21"/>
    </row>
    <row r="358">
      <c r="B358" s="22"/>
      <c r="C358" s="21"/>
    </row>
    <row r="359">
      <c r="B359" s="22"/>
      <c r="C359" s="21"/>
    </row>
    <row r="360">
      <c r="B360" s="22"/>
      <c r="C360" s="21"/>
    </row>
    <row r="361">
      <c r="B361" s="22"/>
      <c r="C361" s="21"/>
    </row>
    <row r="362">
      <c r="B362" s="22"/>
      <c r="C362" s="21"/>
    </row>
    <row r="363">
      <c r="B363" s="22"/>
      <c r="C363" s="21"/>
    </row>
    <row r="364">
      <c r="B364" s="22"/>
      <c r="C364" s="21"/>
    </row>
    <row r="365">
      <c r="B365" s="22"/>
      <c r="C365" s="21"/>
    </row>
    <row r="366">
      <c r="B366" s="22"/>
      <c r="C366" s="21"/>
    </row>
    <row r="367">
      <c r="B367" s="22"/>
      <c r="C367" s="21"/>
    </row>
    <row r="368">
      <c r="B368" s="22"/>
      <c r="C368" s="21"/>
    </row>
    <row r="369">
      <c r="B369" s="22"/>
      <c r="C369" s="21"/>
    </row>
    <row r="370">
      <c r="B370" s="22"/>
      <c r="C370" s="21"/>
    </row>
    <row r="371">
      <c r="B371" s="22"/>
      <c r="C371" s="21"/>
    </row>
    <row r="372">
      <c r="B372" s="22"/>
      <c r="C372" s="21"/>
    </row>
    <row r="373">
      <c r="B373" s="22"/>
      <c r="C373" s="21"/>
    </row>
    <row r="374">
      <c r="B374" s="22"/>
      <c r="C374" s="21"/>
    </row>
    <row r="375">
      <c r="B375" s="22"/>
      <c r="C375" s="21"/>
    </row>
    <row r="376">
      <c r="B376" s="22"/>
      <c r="C376" s="21"/>
    </row>
    <row r="377">
      <c r="B377" s="22"/>
      <c r="C377" s="21"/>
    </row>
    <row r="378">
      <c r="B378" s="22"/>
      <c r="C378" s="21"/>
    </row>
    <row r="379">
      <c r="B379" s="22"/>
      <c r="C379" s="21"/>
    </row>
    <row r="380">
      <c r="B380" s="22"/>
      <c r="C380" s="21"/>
    </row>
    <row r="381">
      <c r="B381" s="22"/>
      <c r="C381" s="21"/>
    </row>
    <row r="382">
      <c r="B382" s="22"/>
      <c r="C382" s="21"/>
    </row>
    <row r="383">
      <c r="B383" s="22"/>
      <c r="C383" s="21"/>
    </row>
    <row r="384">
      <c r="B384" s="22"/>
      <c r="C384" s="21"/>
    </row>
    <row r="385">
      <c r="B385" s="22"/>
      <c r="C385" s="21"/>
    </row>
    <row r="386">
      <c r="B386" s="22"/>
      <c r="C386" s="21"/>
    </row>
    <row r="387">
      <c r="B387" s="22"/>
      <c r="C387" s="21"/>
    </row>
    <row r="388">
      <c r="B388" s="22"/>
      <c r="C388" s="21"/>
    </row>
    <row r="389">
      <c r="B389" s="22"/>
      <c r="C389" s="21"/>
    </row>
    <row r="390">
      <c r="B390" s="22"/>
      <c r="C390" s="21"/>
    </row>
    <row r="391">
      <c r="B391" s="22"/>
      <c r="C391" s="21"/>
    </row>
    <row r="392">
      <c r="B392" s="22"/>
      <c r="C392" s="21"/>
    </row>
    <row r="393">
      <c r="B393" s="22"/>
      <c r="C393" s="21"/>
    </row>
    <row r="394">
      <c r="B394" s="22"/>
      <c r="C394" s="21"/>
    </row>
    <row r="395">
      <c r="B395" s="22"/>
      <c r="C395" s="21"/>
    </row>
    <row r="396">
      <c r="B396" s="22"/>
      <c r="C396" s="21"/>
    </row>
    <row r="397">
      <c r="B397" s="22"/>
      <c r="C397" s="21"/>
    </row>
    <row r="398">
      <c r="B398" s="22"/>
      <c r="C398" s="21"/>
    </row>
    <row r="399">
      <c r="B399" s="22"/>
      <c r="C399" s="21"/>
    </row>
    <row r="400">
      <c r="B400" s="22"/>
      <c r="C400" s="21"/>
    </row>
    <row r="401">
      <c r="B401" s="22"/>
      <c r="C401" s="21"/>
    </row>
    <row r="402">
      <c r="B402" s="22"/>
      <c r="C402" s="21"/>
    </row>
    <row r="403">
      <c r="B403" s="22"/>
      <c r="C403" s="21"/>
    </row>
    <row r="404">
      <c r="B404" s="22"/>
      <c r="C404" s="21"/>
    </row>
    <row r="405">
      <c r="B405" s="22"/>
      <c r="C405" s="21"/>
    </row>
    <row r="406">
      <c r="B406" s="22"/>
      <c r="C406" s="21"/>
    </row>
    <row r="407">
      <c r="B407" s="22"/>
      <c r="C407" s="21"/>
    </row>
    <row r="408">
      <c r="B408" s="22"/>
      <c r="C408" s="21"/>
    </row>
    <row r="409">
      <c r="B409" s="22"/>
      <c r="C409" s="21"/>
    </row>
    <row r="410">
      <c r="B410" s="22"/>
      <c r="C410" s="21"/>
    </row>
    <row r="411">
      <c r="B411" s="22"/>
      <c r="C411" s="21"/>
    </row>
    <row r="412">
      <c r="B412" s="22"/>
      <c r="C412" s="21"/>
    </row>
    <row r="413">
      <c r="B413" s="22"/>
      <c r="C413" s="21"/>
    </row>
    <row r="414">
      <c r="B414" s="22"/>
      <c r="C414" s="21"/>
    </row>
    <row r="415">
      <c r="B415" s="22"/>
      <c r="C415" s="21"/>
    </row>
    <row r="416">
      <c r="B416" s="22"/>
      <c r="C416" s="21"/>
    </row>
    <row r="417">
      <c r="B417" s="22"/>
      <c r="C417" s="21"/>
    </row>
    <row r="418">
      <c r="B418" s="22"/>
      <c r="C418" s="21"/>
    </row>
    <row r="419">
      <c r="B419" s="22"/>
      <c r="C419" s="21"/>
    </row>
    <row r="420">
      <c r="B420" s="22"/>
      <c r="C420" s="21"/>
    </row>
    <row r="421">
      <c r="B421" s="22"/>
      <c r="C421" s="21"/>
    </row>
    <row r="422">
      <c r="B422" s="22"/>
      <c r="C422" s="21"/>
    </row>
    <row r="423">
      <c r="B423" s="22"/>
      <c r="C423" s="21"/>
    </row>
    <row r="424">
      <c r="B424" s="22"/>
      <c r="C424" s="21"/>
    </row>
    <row r="425">
      <c r="B425" s="22"/>
      <c r="C425" s="21"/>
    </row>
    <row r="426">
      <c r="B426" s="22"/>
      <c r="C426" s="21"/>
    </row>
    <row r="427">
      <c r="B427" s="22"/>
      <c r="C427" s="21"/>
    </row>
    <row r="428">
      <c r="B428" s="22"/>
      <c r="C428" s="21"/>
    </row>
    <row r="429">
      <c r="B429" s="22"/>
      <c r="C429" s="21"/>
    </row>
    <row r="430">
      <c r="B430" s="22"/>
      <c r="C430" s="21"/>
    </row>
    <row r="431">
      <c r="B431" s="22"/>
      <c r="C431" s="21"/>
    </row>
    <row r="432">
      <c r="B432" s="22"/>
      <c r="C432" s="21"/>
    </row>
    <row r="433">
      <c r="B433" s="22"/>
      <c r="C433" s="21"/>
    </row>
    <row r="434">
      <c r="B434" s="22"/>
      <c r="C434" s="21"/>
    </row>
    <row r="435">
      <c r="B435" s="22"/>
      <c r="C435" s="21"/>
    </row>
    <row r="436">
      <c r="B436" s="22"/>
      <c r="C436" s="21"/>
    </row>
    <row r="437">
      <c r="B437" s="22"/>
      <c r="C437" s="21"/>
    </row>
    <row r="438">
      <c r="B438" s="22"/>
      <c r="C438" s="21"/>
    </row>
    <row r="439">
      <c r="B439" s="22"/>
      <c r="C439" s="21"/>
    </row>
    <row r="440">
      <c r="B440" s="22"/>
      <c r="C440" s="21"/>
    </row>
    <row r="441">
      <c r="B441" s="22"/>
      <c r="C441" s="21"/>
    </row>
    <row r="442">
      <c r="B442" s="22"/>
      <c r="C442" s="21"/>
    </row>
    <row r="443">
      <c r="B443" s="22"/>
      <c r="C443" s="21"/>
    </row>
    <row r="444">
      <c r="B444" s="22"/>
      <c r="C444" s="21"/>
    </row>
    <row r="445">
      <c r="B445" s="22"/>
      <c r="C445" s="21"/>
    </row>
    <row r="446">
      <c r="B446" s="22"/>
      <c r="C446" s="21"/>
    </row>
    <row r="447">
      <c r="B447" s="22"/>
      <c r="C447" s="21"/>
    </row>
    <row r="448">
      <c r="B448" s="22"/>
      <c r="C448" s="21"/>
    </row>
    <row r="449">
      <c r="B449" s="22"/>
      <c r="C449" s="21"/>
    </row>
    <row r="450">
      <c r="B450" s="22"/>
      <c r="C450" s="21"/>
    </row>
    <row r="451">
      <c r="B451" s="22"/>
      <c r="C451" s="21"/>
    </row>
    <row r="452">
      <c r="B452" s="22"/>
      <c r="C452" s="21"/>
    </row>
    <row r="453">
      <c r="B453" s="22"/>
      <c r="C453" s="21"/>
    </row>
    <row r="454">
      <c r="B454" s="22"/>
      <c r="C454" s="21"/>
    </row>
    <row r="455">
      <c r="B455" s="22"/>
      <c r="C455" s="21"/>
    </row>
    <row r="456">
      <c r="B456" s="22"/>
      <c r="C456" s="21"/>
    </row>
    <row r="457">
      <c r="B457" s="22"/>
      <c r="C457" s="21"/>
    </row>
    <row r="458">
      <c r="B458" s="22"/>
      <c r="C458" s="21"/>
    </row>
    <row r="459">
      <c r="B459" s="22"/>
      <c r="C459" s="21"/>
    </row>
    <row r="460">
      <c r="B460" s="22"/>
      <c r="C460" s="21"/>
    </row>
    <row r="461">
      <c r="B461" s="22"/>
      <c r="C461" s="21"/>
    </row>
    <row r="462">
      <c r="B462" s="22"/>
      <c r="C462" s="21"/>
    </row>
    <row r="463">
      <c r="B463" s="22"/>
      <c r="C463" s="21"/>
    </row>
    <row r="464">
      <c r="B464" s="22"/>
      <c r="C464" s="21"/>
    </row>
    <row r="465">
      <c r="B465" s="22"/>
      <c r="C465" s="21"/>
    </row>
    <row r="466">
      <c r="B466" s="22"/>
      <c r="C466" s="21"/>
    </row>
    <row r="467">
      <c r="B467" s="22"/>
      <c r="C467" s="21"/>
    </row>
    <row r="468">
      <c r="B468" s="22"/>
      <c r="C468" s="21"/>
    </row>
    <row r="469">
      <c r="B469" s="22"/>
      <c r="C469" s="21"/>
    </row>
    <row r="470">
      <c r="B470" s="22"/>
      <c r="C470" s="21"/>
    </row>
    <row r="471">
      <c r="B471" s="22"/>
      <c r="C471" s="21"/>
    </row>
    <row r="472">
      <c r="B472" s="22"/>
      <c r="C472" s="21"/>
    </row>
    <row r="473">
      <c r="B473" s="22"/>
      <c r="C473" s="21"/>
    </row>
    <row r="474">
      <c r="B474" s="22"/>
      <c r="C474" s="21"/>
    </row>
    <row r="475">
      <c r="B475" s="22"/>
      <c r="C475" s="21"/>
    </row>
    <row r="476">
      <c r="B476" s="22"/>
      <c r="C476" s="21"/>
    </row>
    <row r="477">
      <c r="B477" s="22"/>
      <c r="C477" s="21"/>
    </row>
    <row r="478">
      <c r="B478" s="22"/>
      <c r="C478" s="21"/>
    </row>
    <row r="479">
      <c r="B479" s="22"/>
      <c r="C479" s="21"/>
    </row>
    <row r="480">
      <c r="B480" s="22"/>
      <c r="C480" s="21"/>
    </row>
    <row r="481">
      <c r="B481" s="22"/>
      <c r="C481" s="21"/>
    </row>
    <row r="482">
      <c r="B482" s="22"/>
      <c r="C482" s="21"/>
    </row>
    <row r="483">
      <c r="B483" s="22"/>
      <c r="C483" s="21"/>
    </row>
    <row r="484">
      <c r="B484" s="22"/>
      <c r="C484" s="21"/>
    </row>
    <row r="485">
      <c r="B485" s="22"/>
      <c r="C485" s="21"/>
    </row>
    <row r="486">
      <c r="B486" s="22"/>
      <c r="C486" s="21"/>
    </row>
    <row r="487">
      <c r="B487" s="22"/>
      <c r="C487" s="21"/>
    </row>
    <row r="488">
      <c r="B488" s="22"/>
      <c r="C488" s="21"/>
    </row>
    <row r="489">
      <c r="B489" s="22"/>
      <c r="C489" s="21"/>
    </row>
    <row r="490">
      <c r="B490" s="22"/>
      <c r="C490" s="21"/>
    </row>
    <row r="491">
      <c r="B491" s="22"/>
      <c r="C491" s="21"/>
    </row>
    <row r="492">
      <c r="B492" s="22"/>
      <c r="C492" s="21"/>
    </row>
    <row r="493">
      <c r="B493" s="22"/>
      <c r="C493" s="21"/>
    </row>
    <row r="494">
      <c r="B494" s="22"/>
      <c r="C494" s="21"/>
    </row>
    <row r="495">
      <c r="B495" s="22"/>
      <c r="C495" s="21"/>
    </row>
    <row r="496">
      <c r="B496" s="22"/>
      <c r="C496" s="21"/>
    </row>
    <row r="497">
      <c r="B497" s="22"/>
      <c r="C497" s="21"/>
    </row>
    <row r="498">
      <c r="B498" s="22"/>
      <c r="C498" s="21"/>
    </row>
    <row r="499">
      <c r="B499" s="22"/>
      <c r="C499" s="21"/>
    </row>
    <row r="500">
      <c r="B500" s="22"/>
      <c r="C500" s="21"/>
    </row>
    <row r="501">
      <c r="B501" s="22"/>
      <c r="C501" s="21"/>
    </row>
    <row r="502">
      <c r="B502" s="22"/>
      <c r="C502" s="21"/>
    </row>
    <row r="503">
      <c r="B503" s="22"/>
      <c r="C503" s="21"/>
    </row>
    <row r="504">
      <c r="B504" s="22"/>
      <c r="C504" s="21"/>
    </row>
    <row r="505">
      <c r="B505" s="22"/>
      <c r="C505" s="21"/>
    </row>
    <row r="506">
      <c r="B506" s="22"/>
      <c r="C506" s="21"/>
    </row>
    <row r="507">
      <c r="B507" s="22"/>
      <c r="C507" s="21"/>
    </row>
    <row r="508">
      <c r="B508" s="22"/>
      <c r="C508" s="21"/>
    </row>
    <row r="509">
      <c r="B509" s="22"/>
      <c r="C509" s="21"/>
    </row>
    <row r="510">
      <c r="B510" s="22"/>
      <c r="C510" s="21"/>
    </row>
    <row r="511">
      <c r="B511" s="22"/>
      <c r="C511" s="21"/>
    </row>
    <row r="512">
      <c r="B512" s="22"/>
      <c r="C512" s="21"/>
    </row>
    <row r="513">
      <c r="B513" s="22"/>
      <c r="C513" s="21"/>
    </row>
    <row r="514">
      <c r="B514" s="22"/>
      <c r="C514" s="21"/>
    </row>
    <row r="515">
      <c r="B515" s="22"/>
      <c r="C515" s="21"/>
    </row>
    <row r="516">
      <c r="B516" s="22"/>
      <c r="C516" s="21"/>
    </row>
    <row r="517">
      <c r="B517" s="22"/>
      <c r="C517" s="21"/>
    </row>
    <row r="518">
      <c r="B518" s="22"/>
      <c r="C518" s="21"/>
    </row>
    <row r="519">
      <c r="B519" s="22"/>
      <c r="C519" s="21"/>
    </row>
    <row r="520">
      <c r="B520" s="22"/>
      <c r="C520" s="21"/>
    </row>
    <row r="521">
      <c r="B521" s="22"/>
      <c r="C521" s="21"/>
    </row>
    <row r="522">
      <c r="B522" s="22"/>
      <c r="C522" s="21"/>
    </row>
    <row r="523">
      <c r="B523" s="22"/>
      <c r="C523" s="21"/>
    </row>
    <row r="524">
      <c r="B524" s="22"/>
      <c r="C524" s="21"/>
    </row>
    <row r="525">
      <c r="B525" s="22"/>
      <c r="C525" s="21"/>
    </row>
    <row r="526">
      <c r="B526" s="22"/>
      <c r="C526" s="21"/>
    </row>
    <row r="527">
      <c r="B527" s="22"/>
      <c r="C527" s="21"/>
    </row>
    <row r="528">
      <c r="B528" s="22"/>
      <c r="C528" s="21"/>
    </row>
    <row r="529">
      <c r="B529" s="22"/>
      <c r="C529" s="21"/>
    </row>
    <row r="530">
      <c r="B530" s="22"/>
      <c r="C530" s="21"/>
    </row>
    <row r="531">
      <c r="B531" s="22"/>
      <c r="C531" s="21"/>
    </row>
    <row r="532">
      <c r="B532" s="22"/>
      <c r="C532" s="21"/>
    </row>
    <row r="533">
      <c r="B533" s="22"/>
      <c r="C533" s="21"/>
    </row>
    <row r="534">
      <c r="B534" s="22"/>
      <c r="C534" s="21"/>
    </row>
    <row r="535">
      <c r="B535" s="22"/>
      <c r="C535" s="21"/>
    </row>
    <row r="536">
      <c r="B536" s="22"/>
      <c r="C536" s="21"/>
    </row>
    <row r="537">
      <c r="B537" s="22"/>
      <c r="C537" s="21"/>
    </row>
    <row r="538">
      <c r="B538" s="22"/>
      <c r="C538" s="21"/>
    </row>
    <row r="539">
      <c r="B539" s="22"/>
      <c r="C539" s="21"/>
    </row>
    <row r="540">
      <c r="B540" s="22"/>
      <c r="C540" s="21"/>
    </row>
    <row r="541">
      <c r="B541" s="22"/>
      <c r="C541" s="21"/>
    </row>
    <row r="542">
      <c r="B542" s="22"/>
      <c r="C542" s="21"/>
    </row>
    <row r="543">
      <c r="B543" s="22"/>
      <c r="C543" s="21"/>
    </row>
    <row r="544">
      <c r="B544" s="22"/>
      <c r="C544" s="21"/>
    </row>
    <row r="545">
      <c r="B545" s="22"/>
      <c r="C545" s="21"/>
    </row>
    <row r="546">
      <c r="B546" s="22"/>
      <c r="C546" s="21"/>
    </row>
    <row r="547">
      <c r="B547" s="22"/>
      <c r="C547" s="21"/>
    </row>
    <row r="548">
      <c r="B548" s="22"/>
      <c r="C548" s="21"/>
    </row>
    <row r="549">
      <c r="B549" s="22"/>
      <c r="C549" s="21"/>
    </row>
    <row r="550">
      <c r="B550" s="22"/>
      <c r="C550" s="21"/>
    </row>
    <row r="551">
      <c r="B551" s="22"/>
      <c r="C551" s="21"/>
    </row>
    <row r="552">
      <c r="B552" s="22"/>
      <c r="C552" s="21"/>
    </row>
    <row r="553">
      <c r="B553" s="22"/>
      <c r="C553" s="21"/>
    </row>
    <row r="554">
      <c r="B554" s="22"/>
      <c r="C554" s="21"/>
    </row>
    <row r="555">
      <c r="B555" s="22"/>
      <c r="C555" s="21"/>
    </row>
    <row r="556">
      <c r="B556" s="22"/>
      <c r="C556" s="21"/>
    </row>
    <row r="557">
      <c r="B557" s="22"/>
      <c r="C557" s="21"/>
    </row>
    <row r="558">
      <c r="B558" s="22"/>
      <c r="C558" s="21"/>
    </row>
    <row r="559">
      <c r="B559" s="22"/>
      <c r="C559" s="21"/>
    </row>
    <row r="560">
      <c r="B560" s="22"/>
      <c r="C560" s="21"/>
    </row>
    <row r="561">
      <c r="B561" s="22"/>
      <c r="C561" s="21"/>
    </row>
    <row r="562">
      <c r="B562" s="22"/>
      <c r="C562" s="21"/>
    </row>
    <row r="563">
      <c r="B563" s="22"/>
      <c r="C563" s="21"/>
    </row>
    <row r="564">
      <c r="B564" s="22"/>
      <c r="C564" s="21"/>
    </row>
    <row r="565">
      <c r="B565" s="22"/>
      <c r="C565" s="21"/>
    </row>
    <row r="566">
      <c r="B566" s="22"/>
      <c r="C566" s="21"/>
    </row>
    <row r="567">
      <c r="B567" s="22"/>
      <c r="C567" s="21"/>
    </row>
    <row r="568">
      <c r="B568" s="22"/>
      <c r="C568" s="21"/>
    </row>
    <row r="569">
      <c r="B569" s="22"/>
      <c r="C569" s="21"/>
    </row>
    <row r="570">
      <c r="B570" s="22"/>
      <c r="C570" s="21"/>
    </row>
    <row r="571">
      <c r="B571" s="22"/>
      <c r="C571" s="21"/>
    </row>
    <row r="572">
      <c r="B572" s="22"/>
      <c r="C572" s="21"/>
    </row>
    <row r="573">
      <c r="B573" s="22"/>
      <c r="C573" s="21"/>
    </row>
    <row r="574">
      <c r="B574" s="22"/>
      <c r="C574" s="21"/>
    </row>
    <row r="575">
      <c r="B575" s="22"/>
      <c r="C575" s="21"/>
    </row>
    <row r="576">
      <c r="B576" s="22"/>
      <c r="C576" s="21"/>
    </row>
    <row r="577">
      <c r="B577" s="22"/>
      <c r="C577" s="21"/>
    </row>
    <row r="578">
      <c r="B578" s="22"/>
      <c r="C578" s="21"/>
    </row>
    <row r="579">
      <c r="B579" s="22"/>
      <c r="C579" s="21"/>
    </row>
    <row r="580">
      <c r="B580" s="22"/>
      <c r="C580" s="21"/>
    </row>
    <row r="581">
      <c r="B581" s="22"/>
      <c r="C581" s="21"/>
    </row>
    <row r="582">
      <c r="B582" s="22"/>
      <c r="C582" s="21"/>
    </row>
    <row r="583">
      <c r="B583" s="22"/>
      <c r="C583" s="21"/>
    </row>
    <row r="584">
      <c r="B584" s="22"/>
      <c r="C584" s="21"/>
    </row>
    <row r="585">
      <c r="B585" s="22"/>
      <c r="C585" s="21"/>
    </row>
    <row r="586">
      <c r="B586" s="22"/>
      <c r="C586" s="21"/>
    </row>
    <row r="587">
      <c r="B587" s="22"/>
      <c r="C587" s="21"/>
    </row>
    <row r="588">
      <c r="B588" s="22"/>
      <c r="C588" s="21"/>
    </row>
    <row r="589">
      <c r="B589" s="22"/>
      <c r="C589" s="21"/>
    </row>
    <row r="590">
      <c r="B590" s="22"/>
      <c r="C590" s="21"/>
    </row>
    <row r="591">
      <c r="B591" s="22"/>
      <c r="C591" s="21"/>
    </row>
    <row r="592">
      <c r="B592" s="22"/>
      <c r="C592" s="21"/>
    </row>
    <row r="593">
      <c r="B593" s="22"/>
      <c r="C593" s="21"/>
    </row>
    <row r="594">
      <c r="B594" s="22"/>
      <c r="C594" s="21"/>
    </row>
    <row r="595">
      <c r="B595" s="22"/>
      <c r="C595" s="21"/>
    </row>
    <row r="596">
      <c r="B596" s="22"/>
      <c r="C596" s="21"/>
    </row>
    <row r="597">
      <c r="B597" s="22"/>
      <c r="C597" s="21"/>
    </row>
    <row r="598">
      <c r="B598" s="22"/>
      <c r="C598" s="21"/>
    </row>
    <row r="599">
      <c r="B599" s="22"/>
      <c r="C599" s="21"/>
    </row>
    <row r="600">
      <c r="B600" s="22"/>
      <c r="C600" s="21"/>
    </row>
    <row r="601">
      <c r="B601" s="22"/>
      <c r="C601" s="21"/>
    </row>
    <row r="602">
      <c r="B602" s="22"/>
      <c r="C602" s="21"/>
    </row>
    <row r="603">
      <c r="B603" s="22"/>
      <c r="C603" s="21"/>
    </row>
    <row r="604">
      <c r="B604" s="22"/>
      <c r="C604" s="21"/>
    </row>
    <row r="605">
      <c r="B605" s="22"/>
      <c r="C605" s="21"/>
    </row>
    <row r="606">
      <c r="B606" s="22"/>
      <c r="C606" s="21"/>
    </row>
    <row r="607">
      <c r="B607" s="22"/>
      <c r="C607" s="21"/>
    </row>
    <row r="608">
      <c r="B608" s="22"/>
      <c r="C608" s="21"/>
    </row>
    <row r="609">
      <c r="B609" s="22"/>
      <c r="C609" s="21"/>
    </row>
    <row r="610">
      <c r="B610" s="22"/>
      <c r="C610" s="21"/>
    </row>
    <row r="611">
      <c r="B611" s="22"/>
      <c r="C611" s="21"/>
    </row>
    <row r="612">
      <c r="B612" s="22"/>
      <c r="C612" s="21"/>
    </row>
    <row r="613">
      <c r="B613" s="22"/>
      <c r="C613" s="21"/>
    </row>
    <row r="614">
      <c r="B614" s="22"/>
      <c r="C614" s="21"/>
    </row>
    <row r="615">
      <c r="B615" s="22"/>
      <c r="C615" s="21"/>
    </row>
    <row r="616">
      <c r="B616" s="22"/>
      <c r="C616" s="21"/>
    </row>
    <row r="617">
      <c r="B617" s="22"/>
      <c r="C617" s="21"/>
    </row>
    <row r="618">
      <c r="B618" s="22"/>
      <c r="C618" s="21"/>
    </row>
    <row r="619">
      <c r="B619" s="22"/>
      <c r="C619" s="21"/>
    </row>
    <row r="620">
      <c r="B620" s="22"/>
      <c r="C620" s="21"/>
    </row>
    <row r="621">
      <c r="B621" s="22"/>
      <c r="C621" s="21"/>
    </row>
    <row r="622">
      <c r="B622" s="22"/>
      <c r="C622" s="21"/>
    </row>
    <row r="623">
      <c r="B623" s="22"/>
      <c r="C623" s="21"/>
    </row>
    <row r="624">
      <c r="B624" s="22"/>
      <c r="C624" s="21"/>
    </row>
    <row r="625">
      <c r="B625" s="22"/>
      <c r="C625" s="21"/>
    </row>
    <row r="626">
      <c r="B626" s="22"/>
      <c r="C626" s="21"/>
    </row>
    <row r="627">
      <c r="B627" s="22"/>
      <c r="C627" s="21"/>
    </row>
    <row r="628">
      <c r="B628" s="22"/>
      <c r="C628" s="21"/>
    </row>
    <row r="629">
      <c r="B629" s="22"/>
      <c r="C629" s="21"/>
    </row>
    <row r="630">
      <c r="B630" s="22"/>
      <c r="C630" s="21"/>
    </row>
    <row r="631">
      <c r="B631" s="22"/>
      <c r="C631" s="21"/>
    </row>
    <row r="632">
      <c r="B632" s="22"/>
      <c r="C632" s="21"/>
    </row>
    <row r="633">
      <c r="B633" s="22"/>
      <c r="C633" s="21"/>
    </row>
    <row r="634">
      <c r="B634" s="22"/>
      <c r="C634" s="21"/>
    </row>
    <row r="635">
      <c r="B635" s="22"/>
      <c r="C635" s="21"/>
    </row>
    <row r="636">
      <c r="B636" s="22"/>
      <c r="C636" s="21"/>
    </row>
    <row r="637">
      <c r="B637" s="22"/>
      <c r="C637" s="21"/>
    </row>
    <row r="638">
      <c r="B638" s="22"/>
      <c r="C638" s="21"/>
    </row>
    <row r="639">
      <c r="B639" s="22"/>
      <c r="C639" s="21"/>
    </row>
    <row r="640">
      <c r="B640" s="22"/>
      <c r="C640" s="21"/>
    </row>
    <row r="641">
      <c r="B641" s="22"/>
      <c r="C641" s="21"/>
    </row>
    <row r="642">
      <c r="B642" s="22"/>
      <c r="C642" s="21"/>
    </row>
    <row r="643">
      <c r="B643" s="22"/>
      <c r="C643" s="21"/>
    </row>
    <row r="644">
      <c r="B644" s="22"/>
      <c r="C644" s="21"/>
    </row>
    <row r="645">
      <c r="B645" s="22"/>
      <c r="C645" s="21"/>
    </row>
    <row r="646">
      <c r="B646" s="22"/>
      <c r="C646" s="21"/>
    </row>
    <row r="647">
      <c r="B647" s="22"/>
      <c r="C647" s="21"/>
    </row>
    <row r="648">
      <c r="B648" s="22"/>
      <c r="C648" s="21"/>
    </row>
    <row r="649">
      <c r="B649" s="22"/>
      <c r="C649" s="21"/>
    </row>
    <row r="650">
      <c r="B650" s="22"/>
      <c r="C650" s="21"/>
    </row>
    <row r="651">
      <c r="B651" s="22"/>
      <c r="C651" s="21"/>
    </row>
    <row r="652">
      <c r="B652" s="22"/>
      <c r="C652" s="21"/>
    </row>
    <row r="653">
      <c r="B653" s="22"/>
      <c r="C653" s="21"/>
    </row>
    <row r="654">
      <c r="B654" s="22"/>
      <c r="C654" s="21"/>
    </row>
    <row r="655">
      <c r="B655" s="22"/>
      <c r="C655" s="21"/>
    </row>
    <row r="656">
      <c r="B656" s="22"/>
      <c r="C656" s="21"/>
    </row>
    <row r="657">
      <c r="B657" s="22"/>
      <c r="C657" s="21"/>
    </row>
    <row r="658">
      <c r="B658" s="22"/>
      <c r="C658" s="21"/>
    </row>
    <row r="659">
      <c r="B659" s="22"/>
      <c r="C659" s="21"/>
    </row>
    <row r="660">
      <c r="B660" s="22"/>
      <c r="C660" s="21"/>
    </row>
    <row r="661">
      <c r="B661" s="22"/>
      <c r="C661" s="21"/>
    </row>
    <row r="662">
      <c r="B662" s="22"/>
      <c r="C662" s="21"/>
    </row>
    <row r="663">
      <c r="B663" s="22"/>
      <c r="C663" s="21"/>
    </row>
    <row r="664">
      <c r="B664" s="22"/>
      <c r="C664" s="21"/>
    </row>
    <row r="665">
      <c r="B665" s="22"/>
      <c r="C665" s="21"/>
    </row>
    <row r="666">
      <c r="B666" s="22"/>
      <c r="C666" s="21"/>
    </row>
    <row r="667">
      <c r="B667" s="22"/>
      <c r="C667" s="21"/>
    </row>
    <row r="668">
      <c r="B668" s="22"/>
      <c r="C668" s="21"/>
    </row>
    <row r="669">
      <c r="B669" s="22"/>
      <c r="C669" s="21"/>
    </row>
    <row r="670">
      <c r="B670" s="22"/>
      <c r="C670" s="21"/>
    </row>
    <row r="671">
      <c r="B671" s="22"/>
      <c r="C671" s="21"/>
    </row>
    <row r="672">
      <c r="B672" s="22"/>
      <c r="C672" s="21"/>
    </row>
    <row r="673">
      <c r="B673" s="22"/>
      <c r="C673" s="21"/>
    </row>
    <row r="674">
      <c r="B674" s="22"/>
      <c r="C674" s="21"/>
    </row>
    <row r="675">
      <c r="B675" s="22"/>
      <c r="C675" s="21"/>
    </row>
    <row r="676">
      <c r="B676" s="22"/>
      <c r="C676" s="21"/>
    </row>
    <row r="677">
      <c r="B677" s="22"/>
      <c r="C677" s="21"/>
    </row>
    <row r="678">
      <c r="B678" s="22"/>
      <c r="C678" s="21"/>
    </row>
    <row r="679">
      <c r="B679" s="22"/>
      <c r="C679" s="21"/>
    </row>
    <row r="680">
      <c r="B680" s="22"/>
      <c r="C680" s="21"/>
    </row>
    <row r="681">
      <c r="B681" s="22"/>
      <c r="C681" s="21"/>
    </row>
    <row r="682">
      <c r="B682" s="22"/>
      <c r="C682" s="21"/>
    </row>
    <row r="683">
      <c r="B683" s="22"/>
      <c r="C683" s="21"/>
    </row>
    <row r="684">
      <c r="B684" s="22"/>
      <c r="C684" s="21"/>
    </row>
    <row r="685">
      <c r="B685" s="22"/>
      <c r="C685" s="21"/>
    </row>
    <row r="686">
      <c r="B686" s="22"/>
      <c r="C686" s="21"/>
    </row>
    <row r="687">
      <c r="B687" s="22"/>
      <c r="C687" s="21"/>
    </row>
    <row r="688">
      <c r="B688" s="22"/>
      <c r="C688" s="21"/>
    </row>
    <row r="689">
      <c r="B689" s="22"/>
      <c r="C689" s="21"/>
    </row>
    <row r="690">
      <c r="B690" s="22"/>
      <c r="C690" s="21"/>
    </row>
    <row r="691">
      <c r="B691" s="22"/>
      <c r="C691" s="21"/>
    </row>
    <row r="692">
      <c r="B692" s="22"/>
      <c r="C692" s="21"/>
    </row>
    <row r="693">
      <c r="B693" s="22"/>
      <c r="C693" s="21"/>
    </row>
    <row r="694">
      <c r="B694" s="22"/>
      <c r="C694" s="21"/>
    </row>
    <row r="695">
      <c r="B695" s="22"/>
      <c r="C695" s="21"/>
    </row>
    <row r="696">
      <c r="B696" s="22"/>
      <c r="C696" s="21"/>
    </row>
    <row r="697">
      <c r="B697" s="22"/>
      <c r="C697" s="21"/>
    </row>
    <row r="698">
      <c r="B698" s="22"/>
      <c r="C698" s="21"/>
    </row>
    <row r="699">
      <c r="B699" s="22"/>
      <c r="C699" s="21"/>
    </row>
    <row r="700">
      <c r="B700" s="22"/>
      <c r="C700" s="21"/>
    </row>
    <row r="701">
      <c r="B701" s="22"/>
      <c r="C701" s="21"/>
    </row>
    <row r="702">
      <c r="B702" s="22"/>
      <c r="C702" s="21"/>
    </row>
    <row r="703">
      <c r="B703" s="22"/>
      <c r="C703" s="21"/>
    </row>
    <row r="704">
      <c r="B704" s="22"/>
      <c r="C704" s="21"/>
    </row>
    <row r="705">
      <c r="B705" s="22"/>
      <c r="C705" s="21"/>
    </row>
    <row r="706">
      <c r="B706" s="22"/>
      <c r="C706" s="21"/>
    </row>
    <row r="707">
      <c r="B707" s="22"/>
      <c r="C707" s="21"/>
    </row>
    <row r="708">
      <c r="B708" s="22"/>
      <c r="C708" s="21"/>
    </row>
    <row r="709">
      <c r="B709" s="22"/>
      <c r="C709" s="21"/>
    </row>
    <row r="710">
      <c r="B710" s="22"/>
      <c r="C710" s="21"/>
    </row>
    <row r="711">
      <c r="B711" s="22"/>
      <c r="C711" s="21"/>
    </row>
    <row r="712">
      <c r="B712" s="22"/>
      <c r="C712" s="21"/>
    </row>
    <row r="713">
      <c r="B713" s="22"/>
      <c r="C713" s="21"/>
    </row>
    <row r="714">
      <c r="B714" s="22"/>
      <c r="C714" s="21"/>
    </row>
    <row r="715">
      <c r="B715" s="22"/>
      <c r="C715" s="21"/>
    </row>
    <row r="716">
      <c r="B716" s="22"/>
      <c r="C716" s="21"/>
    </row>
    <row r="717">
      <c r="B717" s="22"/>
      <c r="C717" s="21"/>
    </row>
    <row r="718">
      <c r="B718" s="22"/>
      <c r="C718" s="21"/>
    </row>
    <row r="719">
      <c r="B719" s="22"/>
      <c r="C719" s="21"/>
    </row>
    <row r="720">
      <c r="B720" s="22"/>
      <c r="C720" s="21"/>
    </row>
    <row r="721">
      <c r="B721" s="22"/>
      <c r="C721" s="21"/>
    </row>
    <row r="722">
      <c r="B722" s="22"/>
      <c r="C722" s="21"/>
    </row>
    <row r="723">
      <c r="B723" s="22"/>
      <c r="C723" s="21"/>
    </row>
    <row r="724">
      <c r="B724" s="22"/>
      <c r="C724" s="21"/>
    </row>
    <row r="725">
      <c r="B725" s="22"/>
      <c r="C725" s="21"/>
    </row>
    <row r="726">
      <c r="B726" s="22"/>
      <c r="C726" s="21"/>
    </row>
    <row r="727">
      <c r="B727" s="22"/>
      <c r="C727" s="21"/>
    </row>
    <row r="728">
      <c r="B728" s="22"/>
      <c r="C728" s="21"/>
    </row>
    <row r="729">
      <c r="B729" s="22"/>
      <c r="C729" s="21"/>
    </row>
    <row r="730">
      <c r="B730" s="22"/>
      <c r="C730" s="21"/>
    </row>
    <row r="731">
      <c r="B731" s="22"/>
      <c r="C731" s="21"/>
    </row>
    <row r="732">
      <c r="B732" s="22"/>
      <c r="C732" s="21"/>
    </row>
    <row r="733">
      <c r="B733" s="22"/>
      <c r="C733" s="21"/>
    </row>
    <row r="734">
      <c r="B734" s="22"/>
      <c r="C734" s="21"/>
    </row>
    <row r="735">
      <c r="B735" s="22"/>
      <c r="C735" s="21"/>
    </row>
    <row r="736">
      <c r="B736" s="22"/>
      <c r="C736" s="21"/>
    </row>
    <row r="737">
      <c r="B737" s="22"/>
      <c r="C737" s="21"/>
    </row>
    <row r="738">
      <c r="B738" s="22"/>
      <c r="C738" s="21"/>
    </row>
    <row r="739">
      <c r="B739" s="22"/>
      <c r="C739" s="21"/>
    </row>
    <row r="740">
      <c r="B740" s="22"/>
      <c r="C740" s="21"/>
    </row>
    <row r="741">
      <c r="B741" s="22"/>
      <c r="C741" s="21"/>
    </row>
    <row r="742">
      <c r="B742" s="22"/>
      <c r="C742" s="21"/>
    </row>
    <row r="743">
      <c r="B743" s="22"/>
      <c r="C743" s="21"/>
    </row>
    <row r="744">
      <c r="B744" s="22"/>
      <c r="C744" s="21"/>
    </row>
    <row r="745">
      <c r="B745" s="22"/>
      <c r="C745" s="21"/>
    </row>
    <row r="746">
      <c r="B746" s="22"/>
      <c r="C746" s="21"/>
    </row>
    <row r="747">
      <c r="B747" s="22"/>
      <c r="C747" s="21"/>
    </row>
    <row r="748">
      <c r="B748" s="22"/>
      <c r="C748" s="21"/>
    </row>
    <row r="749">
      <c r="B749" s="22"/>
      <c r="C749" s="21"/>
    </row>
    <row r="750">
      <c r="B750" s="22"/>
      <c r="C750" s="21"/>
    </row>
    <row r="751">
      <c r="B751" s="22"/>
      <c r="C751" s="21"/>
    </row>
    <row r="752">
      <c r="B752" s="22"/>
      <c r="C752" s="21"/>
    </row>
    <row r="753">
      <c r="B753" s="22"/>
      <c r="C753" s="21"/>
    </row>
    <row r="754">
      <c r="B754" s="22"/>
      <c r="C754" s="21"/>
    </row>
    <row r="755">
      <c r="B755" s="22"/>
      <c r="C755" s="21"/>
    </row>
    <row r="756">
      <c r="B756" s="22"/>
      <c r="C756" s="21"/>
    </row>
    <row r="757">
      <c r="B757" s="22"/>
      <c r="C757" s="21"/>
    </row>
    <row r="758">
      <c r="B758" s="22"/>
      <c r="C758" s="21"/>
    </row>
    <row r="759">
      <c r="B759" s="22"/>
      <c r="C759" s="21"/>
    </row>
    <row r="760">
      <c r="B760" s="22"/>
      <c r="C760" s="21"/>
    </row>
    <row r="761">
      <c r="B761" s="22"/>
      <c r="C761" s="21"/>
    </row>
    <row r="762">
      <c r="B762" s="22"/>
      <c r="C762" s="21"/>
    </row>
    <row r="763">
      <c r="B763" s="22"/>
      <c r="C763" s="21"/>
    </row>
    <row r="764">
      <c r="B764" s="22"/>
      <c r="C764" s="21"/>
    </row>
    <row r="765">
      <c r="B765" s="22"/>
      <c r="C765" s="21"/>
    </row>
    <row r="766">
      <c r="B766" s="22"/>
      <c r="C766" s="21"/>
    </row>
    <row r="767">
      <c r="B767" s="22"/>
      <c r="C767" s="21"/>
    </row>
    <row r="768">
      <c r="B768" s="22"/>
      <c r="C768" s="21"/>
    </row>
    <row r="769">
      <c r="B769" s="22"/>
      <c r="C769" s="21"/>
    </row>
    <row r="770">
      <c r="B770" s="22"/>
      <c r="C770" s="21"/>
    </row>
    <row r="771">
      <c r="B771" s="22"/>
      <c r="C771" s="21"/>
    </row>
    <row r="772">
      <c r="B772" s="22"/>
      <c r="C772" s="21"/>
    </row>
    <row r="773">
      <c r="B773" s="22"/>
      <c r="C773" s="21"/>
    </row>
    <row r="774">
      <c r="B774" s="22"/>
      <c r="C774" s="21"/>
    </row>
    <row r="775">
      <c r="B775" s="22"/>
      <c r="C775" s="21"/>
    </row>
    <row r="776">
      <c r="B776" s="22"/>
      <c r="C776" s="21"/>
    </row>
    <row r="777">
      <c r="B777" s="22"/>
      <c r="C777" s="21"/>
    </row>
    <row r="778">
      <c r="B778" s="22"/>
      <c r="C778" s="21"/>
    </row>
    <row r="779">
      <c r="B779" s="22"/>
      <c r="C779" s="21"/>
    </row>
    <row r="780">
      <c r="B780" s="22"/>
      <c r="C780" s="21"/>
    </row>
    <row r="781">
      <c r="B781" s="22"/>
      <c r="C781" s="21"/>
    </row>
    <row r="782">
      <c r="B782" s="22"/>
      <c r="C782" s="21"/>
    </row>
    <row r="783">
      <c r="B783" s="22"/>
      <c r="C783" s="21"/>
    </row>
    <row r="784">
      <c r="B784" s="22"/>
      <c r="C784" s="21"/>
    </row>
    <row r="785">
      <c r="B785" s="22"/>
      <c r="C785" s="21"/>
    </row>
    <row r="786">
      <c r="B786" s="22"/>
      <c r="C786" s="21"/>
    </row>
    <row r="787">
      <c r="B787" s="22"/>
      <c r="C787" s="21"/>
    </row>
    <row r="788">
      <c r="B788" s="22"/>
      <c r="C788" s="21"/>
    </row>
    <row r="789">
      <c r="B789" s="22"/>
      <c r="C789" s="21"/>
    </row>
    <row r="790">
      <c r="B790" s="22"/>
      <c r="C790" s="21"/>
    </row>
    <row r="791">
      <c r="B791" s="22"/>
      <c r="C791" s="21"/>
    </row>
    <row r="792">
      <c r="B792" s="22"/>
      <c r="C792" s="21"/>
    </row>
    <row r="793">
      <c r="B793" s="22"/>
      <c r="C793" s="21"/>
    </row>
    <row r="794">
      <c r="B794" s="22"/>
      <c r="C794" s="21"/>
    </row>
    <row r="795">
      <c r="B795" s="22"/>
      <c r="C795" s="21"/>
    </row>
    <row r="796">
      <c r="B796" s="22"/>
      <c r="C796" s="21"/>
    </row>
    <row r="797">
      <c r="B797" s="22"/>
      <c r="C797" s="21"/>
    </row>
    <row r="798">
      <c r="B798" s="22"/>
      <c r="C798" s="21"/>
    </row>
    <row r="799">
      <c r="B799" s="22"/>
      <c r="C799" s="21"/>
    </row>
    <row r="800">
      <c r="B800" s="22"/>
      <c r="C800" s="21"/>
    </row>
    <row r="801">
      <c r="B801" s="22"/>
      <c r="C801" s="21"/>
    </row>
    <row r="802">
      <c r="B802" s="22"/>
      <c r="C802" s="21"/>
    </row>
    <row r="803">
      <c r="B803" s="22"/>
      <c r="C803" s="21"/>
    </row>
    <row r="804">
      <c r="B804" s="22"/>
      <c r="C804" s="21"/>
    </row>
    <row r="805">
      <c r="B805" s="22"/>
      <c r="C805" s="21"/>
    </row>
    <row r="806">
      <c r="B806" s="22"/>
      <c r="C806" s="21"/>
    </row>
    <row r="807">
      <c r="B807" s="22"/>
      <c r="C807" s="21"/>
    </row>
    <row r="808">
      <c r="B808" s="22"/>
      <c r="C808" s="21"/>
    </row>
    <row r="809">
      <c r="B809" s="22"/>
      <c r="C809" s="21"/>
    </row>
    <row r="810">
      <c r="B810" s="22"/>
      <c r="C810" s="21"/>
    </row>
    <row r="811">
      <c r="B811" s="22"/>
      <c r="C811" s="21"/>
    </row>
    <row r="812">
      <c r="B812" s="22"/>
      <c r="C812" s="21"/>
    </row>
    <row r="813">
      <c r="B813" s="22"/>
      <c r="C813" s="21"/>
    </row>
    <row r="814">
      <c r="B814" s="22"/>
      <c r="C814" s="21"/>
    </row>
    <row r="815">
      <c r="B815" s="22"/>
      <c r="C815" s="21"/>
    </row>
    <row r="816">
      <c r="B816" s="22"/>
      <c r="C816" s="21"/>
    </row>
    <row r="817">
      <c r="B817" s="22"/>
      <c r="C817" s="21"/>
    </row>
    <row r="818">
      <c r="B818" s="22"/>
      <c r="C818" s="21"/>
    </row>
    <row r="819">
      <c r="B819" s="22"/>
      <c r="C819" s="21"/>
    </row>
    <row r="820">
      <c r="B820" s="22"/>
      <c r="C820" s="21"/>
    </row>
    <row r="821">
      <c r="B821" s="22"/>
      <c r="C821" s="21"/>
    </row>
    <row r="822">
      <c r="B822" s="22"/>
      <c r="C822" s="21"/>
    </row>
    <row r="823">
      <c r="B823" s="22"/>
      <c r="C823" s="21"/>
    </row>
    <row r="824">
      <c r="B824" s="22"/>
      <c r="C824" s="21"/>
    </row>
    <row r="825">
      <c r="B825" s="22"/>
      <c r="C825" s="21"/>
    </row>
    <row r="826">
      <c r="B826" s="22"/>
      <c r="C826" s="21"/>
    </row>
    <row r="827">
      <c r="B827" s="22"/>
      <c r="C827" s="21"/>
    </row>
    <row r="828">
      <c r="B828" s="22"/>
      <c r="C828" s="21"/>
    </row>
    <row r="829">
      <c r="B829" s="22"/>
      <c r="C829" s="21"/>
    </row>
    <row r="830">
      <c r="B830" s="22"/>
      <c r="C830" s="21"/>
    </row>
    <row r="831">
      <c r="B831" s="22"/>
      <c r="C831" s="21"/>
    </row>
    <row r="832">
      <c r="B832" s="22"/>
      <c r="C832" s="21"/>
    </row>
    <row r="833">
      <c r="B833" s="22"/>
      <c r="C833" s="21"/>
    </row>
    <row r="834">
      <c r="B834" s="22"/>
      <c r="C834" s="21"/>
    </row>
    <row r="835">
      <c r="B835" s="22"/>
      <c r="C835" s="21"/>
    </row>
    <row r="836">
      <c r="B836" s="22"/>
      <c r="C836" s="21"/>
    </row>
    <row r="837">
      <c r="B837" s="22"/>
      <c r="C837" s="21"/>
    </row>
    <row r="838">
      <c r="B838" s="22"/>
      <c r="C838" s="21"/>
    </row>
    <row r="839">
      <c r="B839" s="22"/>
      <c r="C839" s="21"/>
    </row>
    <row r="840">
      <c r="B840" s="22"/>
      <c r="C840" s="21"/>
    </row>
    <row r="841">
      <c r="B841" s="22"/>
      <c r="C841" s="21"/>
    </row>
    <row r="842">
      <c r="B842" s="22"/>
      <c r="C842" s="21"/>
    </row>
    <row r="843">
      <c r="B843" s="22"/>
      <c r="C843" s="21"/>
    </row>
    <row r="844">
      <c r="B844" s="22"/>
      <c r="C844" s="21"/>
    </row>
    <row r="845">
      <c r="B845" s="22"/>
      <c r="C845" s="21"/>
    </row>
    <row r="846">
      <c r="B846" s="22"/>
      <c r="C846" s="21"/>
    </row>
    <row r="847">
      <c r="B847" s="22"/>
      <c r="C847" s="21"/>
    </row>
    <row r="848">
      <c r="B848" s="22"/>
      <c r="C848" s="21"/>
    </row>
    <row r="849">
      <c r="B849" s="22"/>
      <c r="C849" s="21"/>
    </row>
    <row r="850">
      <c r="B850" s="22"/>
      <c r="C850" s="21"/>
    </row>
    <row r="851">
      <c r="B851" s="22"/>
      <c r="C851" s="21"/>
    </row>
    <row r="852">
      <c r="B852" s="22"/>
      <c r="C852" s="21"/>
    </row>
    <row r="853">
      <c r="B853" s="22"/>
      <c r="C853" s="21"/>
    </row>
    <row r="854">
      <c r="B854" s="22"/>
      <c r="C854" s="21"/>
    </row>
    <row r="855">
      <c r="B855" s="22"/>
      <c r="C855" s="21"/>
    </row>
    <row r="856">
      <c r="B856" s="22"/>
      <c r="C856" s="21"/>
    </row>
    <row r="857">
      <c r="B857" s="22"/>
      <c r="C857" s="21"/>
    </row>
    <row r="858">
      <c r="B858" s="22"/>
      <c r="C858" s="21"/>
    </row>
    <row r="859">
      <c r="B859" s="22"/>
      <c r="C859" s="21"/>
    </row>
    <row r="860">
      <c r="B860" s="22"/>
      <c r="C860" s="21"/>
    </row>
    <row r="861">
      <c r="B861" s="22"/>
      <c r="C861" s="21"/>
    </row>
    <row r="862">
      <c r="B862" s="22"/>
      <c r="C862" s="21"/>
    </row>
    <row r="863">
      <c r="B863" s="22"/>
      <c r="C863" s="21"/>
    </row>
    <row r="864">
      <c r="B864" s="22"/>
      <c r="C864" s="21"/>
    </row>
    <row r="865">
      <c r="B865" s="22"/>
      <c r="C865" s="21"/>
    </row>
    <row r="866">
      <c r="B866" s="22"/>
      <c r="C866" s="21"/>
    </row>
    <row r="867">
      <c r="B867" s="22"/>
      <c r="C867" s="21"/>
    </row>
    <row r="868">
      <c r="B868" s="22"/>
      <c r="C868" s="21"/>
    </row>
    <row r="869">
      <c r="B869" s="22"/>
      <c r="C869" s="21"/>
    </row>
    <row r="870">
      <c r="B870" s="22"/>
      <c r="C870" s="21"/>
    </row>
    <row r="871">
      <c r="B871" s="22"/>
      <c r="C871" s="21"/>
    </row>
    <row r="872">
      <c r="B872" s="22"/>
      <c r="C872" s="21"/>
    </row>
    <row r="873">
      <c r="B873" s="22"/>
      <c r="C873" s="21"/>
    </row>
    <row r="874">
      <c r="B874" s="22"/>
      <c r="C874" s="21"/>
    </row>
    <row r="875">
      <c r="B875" s="22"/>
      <c r="C875" s="21"/>
    </row>
    <row r="876">
      <c r="B876" s="22"/>
      <c r="C876" s="21"/>
    </row>
    <row r="877">
      <c r="B877" s="22"/>
      <c r="C877" s="21"/>
    </row>
    <row r="878">
      <c r="B878" s="22"/>
      <c r="C878" s="21"/>
    </row>
    <row r="879">
      <c r="B879" s="22"/>
      <c r="C879" s="21"/>
    </row>
    <row r="880">
      <c r="B880" s="22"/>
      <c r="C880" s="21"/>
    </row>
    <row r="881">
      <c r="B881" s="22"/>
      <c r="C881" s="21"/>
    </row>
    <row r="882">
      <c r="B882" s="22"/>
      <c r="C882" s="21"/>
    </row>
    <row r="883">
      <c r="B883" s="22"/>
      <c r="C883" s="21"/>
    </row>
    <row r="884">
      <c r="B884" s="22"/>
      <c r="C884" s="21"/>
    </row>
    <row r="885">
      <c r="B885" s="22"/>
      <c r="C885" s="21"/>
    </row>
    <row r="886">
      <c r="B886" s="22"/>
      <c r="C886" s="21"/>
    </row>
    <row r="887">
      <c r="B887" s="22"/>
      <c r="C887" s="21"/>
    </row>
    <row r="888">
      <c r="B888" s="22"/>
      <c r="C888" s="21"/>
    </row>
    <row r="889">
      <c r="B889" s="22"/>
      <c r="C889" s="21"/>
    </row>
    <row r="890">
      <c r="B890" s="22"/>
      <c r="C890" s="21"/>
    </row>
    <row r="891">
      <c r="B891" s="22"/>
      <c r="C891" s="21"/>
    </row>
    <row r="892">
      <c r="B892" s="22"/>
      <c r="C892" s="21"/>
    </row>
    <row r="893">
      <c r="B893" s="22"/>
      <c r="C893" s="21"/>
    </row>
    <row r="894">
      <c r="B894" s="22"/>
      <c r="C894" s="21"/>
    </row>
    <row r="895">
      <c r="B895" s="22"/>
      <c r="C895" s="21"/>
    </row>
    <row r="896">
      <c r="B896" s="22"/>
      <c r="C896" s="21"/>
    </row>
    <row r="897">
      <c r="B897" s="22"/>
      <c r="C897" s="21"/>
    </row>
    <row r="898">
      <c r="B898" s="22"/>
      <c r="C898" s="21"/>
    </row>
    <row r="899">
      <c r="B899" s="22"/>
      <c r="C899" s="21"/>
    </row>
    <row r="900">
      <c r="B900" s="22"/>
      <c r="C900" s="21"/>
    </row>
    <row r="901">
      <c r="B901" s="22"/>
      <c r="C901" s="21"/>
    </row>
    <row r="902">
      <c r="B902" s="22"/>
      <c r="C902" s="21"/>
    </row>
    <row r="903">
      <c r="B903" s="22"/>
      <c r="C903" s="21"/>
    </row>
    <row r="904">
      <c r="B904" s="22"/>
      <c r="C904" s="21"/>
    </row>
    <row r="905">
      <c r="B905" s="22"/>
      <c r="C905" s="21"/>
    </row>
    <row r="906">
      <c r="B906" s="22"/>
      <c r="C906" s="21"/>
    </row>
    <row r="907">
      <c r="B907" s="22"/>
      <c r="C907" s="21"/>
    </row>
    <row r="908">
      <c r="B908" s="22"/>
      <c r="C908" s="21"/>
    </row>
    <row r="909">
      <c r="B909" s="22"/>
      <c r="C909" s="21"/>
    </row>
    <row r="910">
      <c r="B910" s="22"/>
      <c r="C910" s="21"/>
    </row>
    <row r="911">
      <c r="B911" s="22"/>
      <c r="C911" s="21"/>
    </row>
    <row r="912">
      <c r="B912" s="22"/>
      <c r="C912" s="21"/>
    </row>
    <row r="913">
      <c r="B913" s="22"/>
      <c r="C913" s="21"/>
    </row>
    <row r="914">
      <c r="B914" s="22"/>
      <c r="C914" s="21"/>
    </row>
    <row r="915">
      <c r="B915" s="22"/>
      <c r="C915" s="21"/>
    </row>
    <row r="916">
      <c r="B916" s="22"/>
      <c r="C916" s="21"/>
    </row>
    <row r="917">
      <c r="B917" s="22"/>
      <c r="C917" s="21"/>
    </row>
    <row r="918">
      <c r="B918" s="22"/>
      <c r="C918" s="21"/>
    </row>
    <row r="919">
      <c r="B919" s="22"/>
      <c r="C919" s="21"/>
    </row>
    <row r="920">
      <c r="B920" s="22"/>
      <c r="C920" s="21"/>
    </row>
    <row r="921">
      <c r="B921" s="22"/>
      <c r="C921" s="21"/>
    </row>
    <row r="922">
      <c r="B922" s="22"/>
      <c r="C922" s="21"/>
    </row>
    <row r="923">
      <c r="B923" s="22"/>
      <c r="C923" s="21"/>
    </row>
    <row r="924">
      <c r="B924" s="22"/>
      <c r="C924" s="21"/>
    </row>
    <row r="925">
      <c r="B925" s="22"/>
      <c r="C925" s="21"/>
    </row>
    <row r="926">
      <c r="B926" s="22"/>
      <c r="C926" s="21"/>
    </row>
    <row r="927">
      <c r="B927" s="22"/>
      <c r="C927" s="21"/>
    </row>
    <row r="928">
      <c r="B928" s="22"/>
      <c r="C928" s="21"/>
    </row>
    <row r="929">
      <c r="B929" s="22"/>
      <c r="C929" s="21"/>
    </row>
    <row r="930">
      <c r="B930" s="22"/>
      <c r="C930" s="21"/>
    </row>
    <row r="931">
      <c r="B931" s="22"/>
      <c r="C931" s="21"/>
    </row>
    <row r="932">
      <c r="B932" s="22"/>
      <c r="C932" s="21"/>
    </row>
    <row r="933">
      <c r="B933" s="22"/>
      <c r="C933" s="21"/>
    </row>
    <row r="934">
      <c r="B934" s="22"/>
      <c r="C934" s="21"/>
    </row>
    <row r="935">
      <c r="B935" s="22"/>
      <c r="C935" s="21"/>
    </row>
    <row r="936">
      <c r="B936" s="22"/>
      <c r="C936" s="21"/>
    </row>
    <row r="937">
      <c r="B937" s="22"/>
      <c r="C937" s="21"/>
    </row>
    <row r="938">
      <c r="B938" s="22"/>
      <c r="C938" s="21"/>
    </row>
    <row r="939">
      <c r="B939" s="22"/>
      <c r="C939" s="21"/>
    </row>
    <row r="940">
      <c r="B940" s="22"/>
      <c r="C940" s="21"/>
    </row>
    <row r="941">
      <c r="B941" s="22"/>
      <c r="C941" s="21"/>
    </row>
    <row r="942">
      <c r="B942" s="22"/>
      <c r="C942" s="21"/>
    </row>
    <row r="943">
      <c r="B943" s="22"/>
      <c r="C943" s="21"/>
    </row>
    <row r="944">
      <c r="B944" s="22"/>
      <c r="C944" s="21"/>
    </row>
    <row r="945">
      <c r="B945" s="22"/>
      <c r="C945" s="21"/>
    </row>
    <row r="946">
      <c r="B946" s="22"/>
      <c r="C946" s="21"/>
    </row>
    <row r="947">
      <c r="B947" s="22"/>
      <c r="C947" s="21"/>
    </row>
    <row r="948">
      <c r="B948" s="22"/>
      <c r="C948" s="21"/>
    </row>
    <row r="949">
      <c r="B949" s="22"/>
      <c r="C949" s="21"/>
    </row>
    <row r="950">
      <c r="B950" s="22"/>
      <c r="C950" s="21"/>
    </row>
    <row r="951">
      <c r="B951" s="22"/>
      <c r="C951" s="21"/>
    </row>
    <row r="952">
      <c r="B952" s="22"/>
      <c r="C952" s="21"/>
    </row>
    <row r="953">
      <c r="B953" s="22"/>
      <c r="C953" s="21"/>
    </row>
    <row r="954">
      <c r="B954" s="22"/>
      <c r="C954" s="21"/>
    </row>
    <row r="955">
      <c r="B955" s="22"/>
      <c r="C955" s="21"/>
    </row>
    <row r="956">
      <c r="B956" s="22"/>
      <c r="C956" s="21"/>
    </row>
    <row r="957">
      <c r="B957" s="22"/>
      <c r="C957" s="21"/>
    </row>
    <row r="958">
      <c r="B958" s="22"/>
      <c r="C958" s="21"/>
    </row>
    <row r="959">
      <c r="B959" s="22"/>
      <c r="C959" s="21"/>
    </row>
    <row r="960">
      <c r="B960" s="22"/>
      <c r="C960" s="21"/>
    </row>
    <row r="961">
      <c r="B961" s="22"/>
      <c r="C961" s="21"/>
    </row>
    <row r="962">
      <c r="B962" s="22"/>
      <c r="C962" s="21"/>
    </row>
    <row r="963">
      <c r="B963" s="22"/>
      <c r="C963" s="21"/>
    </row>
    <row r="964">
      <c r="B964" s="22"/>
      <c r="C964" s="21"/>
    </row>
    <row r="965">
      <c r="B965" s="22"/>
      <c r="C965" s="21"/>
    </row>
    <row r="966">
      <c r="B966" s="22"/>
      <c r="C966" s="21"/>
    </row>
    <row r="967">
      <c r="B967" s="22"/>
      <c r="C967" s="21"/>
    </row>
    <row r="968">
      <c r="B968" s="22"/>
      <c r="C968" s="21"/>
    </row>
    <row r="969">
      <c r="B969" s="22"/>
      <c r="C969" s="21"/>
    </row>
    <row r="970">
      <c r="B970" s="22"/>
      <c r="C970" s="21"/>
    </row>
    <row r="971">
      <c r="B971" s="22"/>
      <c r="C971" s="21"/>
    </row>
    <row r="972">
      <c r="B972" s="22"/>
      <c r="C972" s="21"/>
    </row>
    <row r="973">
      <c r="B973" s="22"/>
      <c r="C973" s="21"/>
    </row>
    <row r="974">
      <c r="B974" s="22"/>
      <c r="C974" s="21"/>
    </row>
    <row r="975">
      <c r="B975" s="22"/>
      <c r="C975" s="21"/>
    </row>
    <row r="976">
      <c r="B976" s="22"/>
      <c r="C976" s="21"/>
    </row>
    <row r="977">
      <c r="B977" s="22"/>
      <c r="C977" s="21"/>
    </row>
    <row r="978">
      <c r="B978" s="22"/>
      <c r="C978" s="21"/>
    </row>
    <row r="979">
      <c r="B979" s="22"/>
      <c r="C979" s="21"/>
    </row>
    <row r="980">
      <c r="B980" s="22"/>
      <c r="C980" s="21"/>
    </row>
    <row r="981">
      <c r="B981" s="22"/>
      <c r="C981" s="21"/>
    </row>
    <row r="982">
      <c r="B982" s="22"/>
      <c r="C982" s="21"/>
    </row>
    <row r="983">
      <c r="B983" s="22"/>
      <c r="C983" s="21"/>
    </row>
    <row r="984">
      <c r="B984" s="22"/>
      <c r="C984" s="21"/>
    </row>
    <row r="985">
      <c r="B985" s="22"/>
      <c r="C985" s="21"/>
    </row>
    <row r="986">
      <c r="B986" s="22"/>
      <c r="C986" s="21"/>
    </row>
    <row r="987">
      <c r="B987" s="22"/>
      <c r="C987" s="21"/>
    </row>
    <row r="988">
      <c r="B988" s="22"/>
      <c r="C988" s="21"/>
    </row>
    <row r="989">
      <c r="B989" s="22"/>
      <c r="C989" s="21"/>
    </row>
    <row r="990">
      <c r="B990" s="22"/>
      <c r="C990" s="21"/>
    </row>
    <row r="991">
      <c r="B991" s="22"/>
      <c r="C991" s="21"/>
    </row>
    <row r="992">
      <c r="B992" s="22"/>
      <c r="C992" s="21"/>
    </row>
    <row r="993">
      <c r="B993" s="22"/>
      <c r="C993" s="21"/>
    </row>
    <row r="994">
      <c r="B994" s="22"/>
      <c r="C994" s="21"/>
    </row>
    <row r="995">
      <c r="B995" s="22"/>
      <c r="C995" s="21"/>
    </row>
    <row r="996">
      <c r="B996" s="22"/>
      <c r="C996" s="21"/>
    </row>
    <row r="997">
      <c r="B997" s="22"/>
      <c r="C997" s="21"/>
    </row>
    <row r="998">
      <c r="B998" s="22"/>
      <c r="C998" s="21"/>
    </row>
    <row r="999">
      <c r="B999" s="22"/>
      <c r="C999" s="21"/>
    </row>
    <row r="1000">
      <c r="B1000" s="22"/>
      <c r="C1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</cols>
  <sheetData>
    <row r="1">
      <c r="A1" s="23" t="s">
        <v>12</v>
      </c>
      <c r="B1" s="24"/>
      <c r="C1" s="25"/>
      <c r="D1" s="26" t="s">
        <v>19</v>
      </c>
      <c r="E1" s="27">
        <f>SUM(C:C)</f>
        <v>84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23</v>
      </c>
      <c r="B3" s="28" t="s">
        <v>24</v>
      </c>
      <c r="C3" s="28">
        <v>23.0</v>
      </c>
    </row>
    <row r="4">
      <c r="A4" s="28" t="s">
        <v>25</v>
      </c>
      <c r="B4" s="28" t="s">
        <v>26</v>
      </c>
      <c r="C4" s="27"/>
    </row>
    <row r="5">
      <c r="A5" s="28" t="s">
        <v>27</v>
      </c>
      <c r="B5" s="28" t="s">
        <v>28</v>
      </c>
      <c r="C5" s="28">
        <v>50.0</v>
      </c>
    </row>
    <row r="6">
      <c r="A6" s="28" t="s">
        <v>29</v>
      </c>
      <c r="B6" s="28" t="s">
        <v>30</v>
      </c>
      <c r="C6" s="27"/>
    </row>
    <row r="7">
      <c r="A7" s="28" t="s">
        <v>31</v>
      </c>
      <c r="B7" s="28" t="s">
        <v>24</v>
      </c>
      <c r="C7" s="27"/>
    </row>
    <row r="8">
      <c r="A8" s="28" t="s">
        <v>32</v>
      </c>
      <c r="B8" s="28" t="s">
        <v>33</v>
      </c>
      <c r="C8" s="27"/>
    </row>
    <row r="9">
      <c r="A9" s="28" t="s">
        <v>34</v>
      </c>
      <c r="B9" s="28" t="s">
        <v>24</v>
      </c>
      <c r="C9" s="27"/>
    </row>
    <row r="10">
      <c r="A10" s="28" t="s">
        <v>35</v>
      </c>
      <c r="B10" s="28" t="s">
        <v>36</v>
      </c>
      <c r="C10" s="27"/>
    </row>
    <row r="11">
      <c r="A11" s="28" t="s">
        <v>37</v>
      </c>
      <c r="B11" s="28" t="s">
        <v>30</v>
      </c>
      <c r="C11" s="27"/>
    </row>
    <row r="12">
      <c r="A12" s="28" t="s">
        <v>38</v>
      </c>
      <c r="B12" s="28" t="s">
        <v>39</v>
      </c>
      <c r="C12" s="27"/>
    </row>
    <row r="13">
      <c r="A13" s="29" t="s">
        <v>40</v>
      </c>
      <c r="B13" s="29" t="s">
        <v>36</v>
      </c>
      <c r="C13" s="30"/>
    </row>
    <row r="14">
      <c r="A14" s="29" t="s">
        <v>41</v>
      </c>
      <c r="B14" s="29" t="s">
        <v>36</v>
      </c>
      <c r="C14" s="30"/>
    </row>
    <row r="15">
      <c r="A15" s="29" t="s">
        <v>42</v>
      </c>
      <c r="B15" s="30"/>
      <c r="C15" s="30"/>
    </row>
    <row r="16">
      <c r="A16" s="29" t="s">
        <v>43</v>
      </c>
      <c r="B16" s="30"/>
      <c r="C16" s="30"/>
    </row>
    <row r="17">
      <c r="A17" s="29" t="s">
        <v>44</v>
      </c>
      <c r="B17" s="29" t="s">
        <v>45</v>
      </c>
      <c r="C17" s="30"/>
    </row>
    <row r="18">
      <c r="A18" s="29" t="s">
        <v>46</v>
      </c>
      <c r="B18" s="29" t="s">
        <v>28</v>
      </c>
      <c r="C18" s="29">
        <v>11.0</v>
      </c>
    </row>
    <row r="19">
      <c r="A19" s="29" t="s">
        <v>47</v>
      </c>
      <c r="B19" s="29" t="s">
        <v>48</v>
      </c>
      <c r="C19" s="30"/>
    </row>
    <row r="20">
      <c r="A20" s="29" t="s">
        <v>49</v>
      </c>
      <c r="B20" s="29" t="s">
        <v>50</v>
      </c>
      <c r="C20" s="30"/>
    </row>
    <row r="21">
      <c r="A21" s="29" t="s">
        <v>51</v>
      </c>
      <c r="B21" s="30"/>
      <c r="C21" s="30"/>
    </row>
    <row r="22">
      <c r="A22" s="29" t="s">
        <v>52</v>
      </c>
      <c r="B22" s="29" t="s">
        <v>30</v>
      </c>
      <c r="C22" s="30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</cols>
  <sheetData>
    <row r="1">
      <c r="A1" s="31" t="s">
        <v>53</v>
      </c>
      <c r="B1" s="24"/>
      <c r="C1" s="25"/>
      <c r="D1" s="26" t="s">
        <v>19</v>
      </c>
      <c r="E1" s="27">
        <f>SUM(C:C)</f>
        <v>50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54</v>
      </c>
      <c r="B3" s="28" t="s">
        <v>55</v>
      </c>
      <c r="C3" s="27"/>
    </row>
    <row r="4">
      <c r="A4" s="28" t="s">
        <v>56</v>
      </c>
      <c r="B4" s="28" t="s">
        <v>57</v>
      </c>
      <c r="C4" s="27"/>
    </row>
    <row r="5">
      <c r="A5" s="28" t="s">
        <v>58</v>
      </c>
      <c r="B5" s="28" t="s">
        <v>59</v>
      </c>
      <c r="C5" s="27"/>
    </row>
    <row r="6">
      <c r="A6" s="28" t="s">
        <v>60</v>
      </c>
      <c r="B6" s="28" t="s">
        <v>59</v>
      </c>
      <c r="C6" s="27"/>
    </row>
    <row r="7">
      <c r="A7" s="28" t="s">
        <v>61</v>
      </c>
      <c r="B7" s="28" t="s">
        <v>59</v>
      </c>
      <c r="C7" s="27"/>
    </row>
    <row r="8">
      <c r="A8" s="28" t="s">
        <v>62</v>
      </c>
      <c r="B8" s="28" t="s">
        <v>48</v>
      </c>
      <c r="C8" s="27"/>
    </row>
    <row r="9">
      <c r="A9" s="28" t="s">
        <v>63</v>
      </c>
      <c r="B9" s="28" t="s">
        <v>64</v>
      </c>
      <c r="C9" s="27"/>
    </row>
    <row r="10">
      <c r="A10" s="28" t="s">
        <v>65</v>
      </c>
      <c r="B10" s="28" t="s">
        <v>66</v>
      </c>
      <c r="C10" s="27"/>
    </row>
    <row r="11">
      <c r="A11" s="28" t="s">
        <v>67</v>
      </c>
      <c r="B11" s="27"/>
      <c r="C11" s="27"/>
    </row>
    <row r="12">
      <c r="A12" s="28" t="s">
        <v>68</v>
      </c>
      <c r="B12" s="28" t="s">
        <v>69</v>
      </c>
      <c r="C12" s="27"/>
    </row>
    <row r="13">
      <c r="A13" s="29" t="s">
        <v>70</v>
      </c>
      <c r="B13" s="29" t="s">
        <v>59</v>
      </c>
      <c r="C13" s="30"/>
    </row>
    <row r="14">
      <c r="A14" s="29" t="s">
        <v>71</v>
      </c>
      <c r="B14" s="29" t="s">
        <v>48</v>
      </c>
      <c r="C14" s="30"/>
    </row>
    <row r="15">
      <c r="A15" s="29" t="s">
        <v>72</v>
      </c>
      <c r="B15" s="30"/>
      <c r="C15" s="30"/>
    </row>
    <row r="16">
      <c r="A16" s="29" t="s">
        <v>73</v>
      </c>
      <c r="B16" s="30"/>
      <c r="C16" s="30"/>
    </row>
    <row r="17">
      <c r="A17" s="28" t="s">
        <v>27</v>
      </c>
      <c r="B17" s="30"/>
      <c r="C17" s="29">
        <v>50.0</v>
      </c>
    </row>
    <row r="18">
      <c r="A18" s="29" t="s">
        <v>74</v>
      </c>
      <c r="B18" s="29" t="s">
        <v>48</v>
      </c>
      <c r="C18" s="30"/>
    </row>
    <row r="19">
      <c r="A19" s="29" t="s">
        <v>75</v>
      </c>
      <c r="B19" s="30"/>
      <c r="C19" s="30"/>
    </row>
    <row r="20">
      <c r="A20" s="29" t="s">
        <v>76</v>
      </c>
      <c r="B20" s="29" t="s">
        <v>59</v>
      </c>
      <c r="C20" s="30"/>
    </row>
    <row r="21">
      <c r="A21" s="29" t="s">
        <v>77</v>
      </c>
      <c r="B21" s="30"/>
      <c r="C21" s="30"/>
    </row>
    <row r="22">
      <c r="A22" s="29" t="s">
        <v>78</v>
      </c>
      <c r="B22" s="30"/>
      <c r="C22" s="30"/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6.71"/>
  </cols>
  <sheetData>
    <row r="1">
      <c r="A1" s="31" t="s">
        <v>79</v>
      </c>
      <c r="B1" s="24"/>
      <c r="C1" s="25"/>
      <c r="D1" s="26" t="s">
        <v>19</v>
      </c>
      <c r="E1" s="27">
        <f>SUM(C:C)</f>
        <v>59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80</v>
      </c>
      <c r="B3" s="27"/>
      <c r="C3" s="27"/>
    </row>
    <row r="4">
      <c r="A4" s="28" t="s">
        <v>81</v>
      </c>
      <c r="B4" s="27"/>
      <c r="C4" s="27"/>
    </row>
    <row r="5">
      <c r="A5" s="28" t="s">
        <v>82</v>
      </c>
      <c r="B5" s="27"/>
      <c r="C5" s="27"/>
    </row>
    <row r="6">
      <c r="A6" s="28" t="s">
        <v>83</v>
      </c>
      <c r="B6" s="27"/>
      <c r="C6" s="27"/>
    </row>
    <row r="7">
      <c r="A7" s="28" t="s">
        <v>84</v>
      </c>
      <c r="B7" s="27"/>
      <c r="C7" s="27"/>
    </row>
    <row r="8">
      <c r="A8" s="28" t="s">
        <v>85</v>
      </c>
      <c r="B8" s="27"/>
      <c r="C8" s="27"/>
    </row>
    <row r="9">
      <c r="A9" s="28" t="s">
        <v>86</v>
      </c>
      <c r="B9" s="27"/>
      <c r="C9" s="27"/>
    </row>
    <row r="10">
      <c r="A10" s="28" t="s">
        <v>87</v>
      </c>
      <c r="B10" s="27"/>
      <c r="C10" s="27"/>
    </row>
    <row r="11">
      <c r="A11" s="28" t="s">
        <v>88</v>
      </c>
      <c r="B11" s="27"/>
      <c r="C11" s="27"/>
    </row>
    <row r="12">
      <c r="A12" s="28" t="s">
        <v>89</v>
      </c>
      <c r="B12" s="27"/>
      <c r="C12" s="27"/>
    </row>
    <row r="13">
      <c r="A13" s="28" t="s">
        <v>90</v>
      </c>
      <c r="B13" s="27"/>
      <c r="C13" s="27"/>
    </row>
    <row r="14">
      <c r="A14" s="28" t="s">
        <v>27</v>
      </c>
      <c r="B14" s="30"/>
      <c r="C14" s="29">
        <v>50.0</v>
      </c>
    </row>
    <row r="15">
      <c r="A15" s="29" t="s">
        <v>91</v>
      </c>
      <c r="B15" s="30"/>
      <c r="C15" s="30"/>
    </row>
    <row r="16">
      <c r="A16" s="29" t="s">
        <v>92</v>
      </c>
      <c r="B16" s="30"/>
      <c r="C16" s="30"/>
    </row>
    <row r="17">
      <c r="A17" s="29" t="s">
        <v>93</v>
      </c>
      <c r="B17" s="30"/>
      <c r="C17" s="30"/>
    </row>
    <row r="18">
      <c r="A18" s="29" t="s">
        <v>94</v>
      </c>
      <c r="B18" s="30"/>
      <c r="C18" s="29">
        <v>9.0</v>
      </c>
    </row>
    <row r="19">
      <c r="A19" s="29" t="s">
        <v>95</v>
      </c>
      <c r="B19" s="30"/>
      <c r="C19" s="30"/>
    </row>
    <row r="20">
      <c r="A20" s="29" t="s">
        <v>96</v>
      </c>
      <c r="B20" s="30"/>
      <c r="C20" s="30"/>
    </row>
    <row r="21">
      <c r="A21" s="29" t="s">
        <v>97</v>
      </c>
      <c r="B21" s="30"/>
      <c r="C21" s="30"/>
    </row>
    <row r="22">
      <c r="A22" s="29" t="s">
        <v>98</v>
      </c>
      <c r="B22" s="30"/>
      <c r="C22" s="30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1.86"/>
  </cols>
  <sheetData>
    <row r="1">
      <c r="A1" s="23" t="s">
        <v>11</v>
      </c>
      <c r="B1" s="24"/>
      <c r="C1" s="25"/>
      <c r="D1" s="26" t="s">
        <v>19</v>
      </c>
      <c r="E1" s="27">
        <f>SUM(C:C)</f>
        <v>63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99</v>
      </c>
      <c r="B3" s="28" t="s">
        <v>100</v>
      </c>
      <c r="C3" s="27"/>
    </row>
    <row r="4">
      <c r="A4" s="28" t="s">
        <v>101</v>
      </c>
      <c r="B4" s="28" t="s">
        <v>36</v>
      </c>
      <c r="C4" s="27"/>
    </row>
    <row r="5">
      <c r="A5" s="28" t="s">
        <v>102</v>
      </c>
      <c r="B5" s="28" t="s">
        <v>36</v>
      </c>
      <c r="C5" s="27"/>
    </row>
    <row r="6">
      <c r="A6" s="28" t="s">
        <v>103</v>
      </c>
      <c r="B6" s="27"/>
      <c r="C6" s="28">
        <v>4.0</v>
      </c>
    </row>
    <row r="7">
      <c r="A7" s="28" t="s">
        <v>27</v>
      </c>
      <c r="B7" s="27"/>
      <c r="C7" s="28">
        <v>50.0</v>
      </c>
    </row>
    <row r="8">
      <c r="A8" s="28" t="s">
        <v>104</v>
      </c>
      <c r="B8" s="28" t="s">
        <v>28</v>
      </c>
      <c r="C8" s="27"/>
    </row>
    <row r="9">
      <c r="A9" s="28" t="s">
        <v>105</v>
      </c>
      <c r="B9" s="28" t="s">
        <v>106</v>
      </c>
      <c r="C9" s="27"/>
    </row>
    <row r="10">
      <c r="A10" s="28" t="s">
        <v>107</v>
      </c>
      <c r="B10" s="27"/>
      <c r="C10" s="28">
        <v>9.0</v>
      </c>
    </row>
    <row r="11">
      <c r="A11" s="28" t="s">
        <v>108</v>
      </c>
      <c r="B11" s="27"/>
      <c r="C11" s="27"/>
    </row>
    <row r="12">
      <c r="A12" s="28" t="s">
        <v>109</v>
      </c>
      <c r="B12" s="27"/>
      <c r="C12" s="27"/>
    </row>
    <row r="13">
      <c r="A13" s="28" t="s">
        <v>110</v>
      </c>
      <c r="B13" s="27"/>
      <c r="C13" s="27"/>
    </row>
    <row r="14">
      <c r="A14" s="29" t="s">
        <v>111</v>
      </c>
      <c r="B14" s="30"/>
      <c r="C14" s="30"/>
    </row>
    <row r="15">
      <c r="A15" s="29" t="s">
        <v>58</v>
      </c>
      <c r="B15" s="30"/>
      <c r="C15" s="30"/>
    </row>
    <row r="16">
      <c r="A16" s="29" t="s">
        <v>112</v>
      </c>
      <c r="B16" s="30"/>
      <c r="C16" s="30"/>
    </row>
    <row r="17">
      <c r="A17" s="29" t="s">
        <v>113</v>
      </c>
      <c r="B17" s="30"/>
      <c r="C17" s="30"/>
    </row>
    <row r="18">
      <c r="A18" s="29" t="s">
        <v>114</v>
      </c>
      <c r="B18" s="30"/>
      <c r="C18" s="30"/>
    </row>
    <row r="19">
      <c r="A19" s="29" t="s">
        <v>115</v>
      </c>
      <c r="B19" s="30"/>
      <c r="C19" s="30"/>
    </row>
    <row r="20">
      <c r="A20" s="29" t="s">
        <v>116</v>
      </c>
      <c r="B20" s="30"/>
      <c r="C20" s="30"/>
    </row>
    <row r="21">
      <c r="A21" s="29" t="s">
        <v>117</v>
      </c>
      <c r="B21" s="30"/>
      <c r="C21" s="30"/>
    </row>
    <row r="22">
      <c r="A22" s="29" t="s">
        <v>118</v>
      </c>
      <c r="B22" s="30"/>
      <c r="C22" s="30"/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</cols>
  <sheetData>
    <row r="1">
      <c r="A1" s="23" t="s">
        <v>16</v>
      </c>
      <c r="B1" s="24"/>
      <c r="C1" s="25"/>
      <c r="D1" s="26" t="s">
        <v>19</v>
      </c>
      <c r="E1" s="27">
        <f>SUM(C:C)</f>
        <v>50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119</v>
      </c>
      <c r="B3" s="28" t="s">
        <v>39</v>
      </c>
      <c r="C3" s="27"/>
    </row>
    <row r="4">
      <c r="A4" s="28" t="s">
        <v>120</v>
      </c>
      <c r="B4" s="28" t="s">
        <v>48</v>
      </c>
      <c r="C4" s="27"/>
    </row>
    <row r="5">
      <c r="A5" s="28" t="s">
        <v>121</v>
      </c>
      <c r="B5" s="28" t="s">
        <v>39</v>
      </c>
      <c r="C5" s="27"/>
    </row>
    <row r="6">
      <c r="A6" s="28" t="s">
        <v>122</v>
      </c>
      <c r="B6" s="28" t="s">
        <v>39</v>
      </c>
      <c r="C6" s="27"/>
    </row>
    <row r="7">
      <c r="A7" s="28" t="s">
        <v>123</v>
      </c>
      <c r="B7" s="28" t="s">
        <v>39</v>
      </c>
      <c r="C7" s="27"/>
    </row>
    <row r="8">
      <c r="A8" s="28" t="s">
        <v>27</v>
      </c>
      <c r="B8" s="28" t="s">
        <v>124</v>
      </c>
      <c r="C8" s="28">
        <v>50.0</v>
      </c>
    </row>
    <row r="9">
      <c r="A9" s="28" t="s">
        <v>125</v>
      </c>
      <c r="B9" s="28" t="s">
        <v>36</v>
      </c>
      <c r="C9" s="27"/>
    </row>
    <row r="10">
      <c r="A10" s="28" t="s">
        <v>126</v>
      </c>
      <c r="B10" s="28" t="s">
        <v>26</v>
      </c>
      <c r="C10" s="27"/>
    </row>
    <row r="11">
      <c r="A11" s="28" t="s">
        <v>127</v>
      </c>
      <c r="B11" s="27"/>
      <c r="C11" s="27"/>
    </row>
    <row r="12">
      <c r="A12" s="28" t="s">
        <v>56</v>
      </c>
      <c r="B12" s="28" t="s">
        <v>128</v>
      </c>
      <c r="C12" s="27"/>
    </row>
    <row r="13">
      <c r="A13" s="29" t="s">
        <v>129</v>
      </c>
      <c r="B13" s="29" t="s">
        <v>39</v>
      </c>
      <c r="C13" s="30"/>
    </row>
    <row r="14">
      <c r="A14" s="29" t="s">
        <v>130</v>
      </c>
      <c r="B14" s="29" t="s">
        <v>131</v>
      </c>
      <c r="C14" s="30"/>
    </row>
    <row r="15">
      <c r="A15" s="29" t="s">
        <v>132</v>
      </c>
      <c r="B15" s="29" t="s">
        <v>28</v>
      </c>
      <c r="C15" s="30"/>
    </row>
    <row r="16">
      <c r="A16" s="29" t="s">
        <v>133</v>
      </c>
      <c r="B16" s="29" t="s">
        <v>39</v>
      </c>
      <c r="C16" s="30"/>
    </row>
    <row r="17">
      <c r="A17" s="29" t="s">
        <v>134</v>
      </c>
      <c r="B17" s="29" t="s">
        <v>135</v>
      </c>
      <c r="C17" s="30"/>
    </row>
    <row r="18">
      <c r="A18" s="29" t="s">
        <v>136</v>
      </c>
      <c r="B18" s="29" t="s">
        <v>135</v>
      </c>
      <c r="C18" s="30"/>
    </row>
    <row r="19">
      <c r="A19" s="29" t="s">
        <v>137</v>
      </c>
      <c r="B19" s="29" t="s">
        <v>135</v>
      </c>
      <c r="C19" s="30"/>
    </row>
    <row r="20">
      <c r="A20" s="29" t="s">
        <v>138</v>
      </c>
      <c r="B20" s="29" t="s">
        <v>64</v>
      </c>
      <c r="C20" s="30"/>
    </row>
    <row r="21">
      <c r="A21" s="29" t="s">
        <v>139</v>
      </c>
      <c r="B21" s="29" t="s">
        <v>64</v>
      </c>
      <c r="C21" s="30"/>
    </row>
    <row r="22">
      <c r="A22" s="29" t="s">
        <v>140</v>
      </c>
      <c r="B22" s="29" t="s">
        <v>141</v>
      </c>
      <c r="C22" s="30"/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6.71"/>
  </cols>
  <sheetData>
    <row r="1">
      <c r="A1" s="23" t="s">
        <v>8</v>
      </c>
      <c r="B1" s="24"/>
      <c r="C1" s="25"/>
      <c r="D1" s="26" t="s">
        <v>19</v>
      </c>
      <c r="E1" s="27">
        <f>SUM(C:C)</f>
        <v>59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108</v>
      </c>
      <c r="B3" s="28" t="s">
        <v>142</v>
      </c>
      <c r="C3" s="27"/>
    </row>
    <row r="4">
      <c r="A4" s="28" t="s">
        <v>85</v>
      </c>
      <c r="B4" s="28" t="s">
        <v>143</v>
      </c>
      <c r="C4" s="27"/>
    </row>
    <row r="5">
      <c r="A5" s="28" t="s">
        <v>61</v>
      </c>
      <c r="B5" s="28" t="s">
        <v>144</v>
      </c>
      <c r="C5" s="27"/>
    </row>
    <row r="6">
      <c r="A6" s="28" t="s">
        <v>145</v>
      </c>
      <c r="B6" s="28" t="s">
        <v>28</v>
      </c>
      <c r="C6" s="27"/>
    </row>
    <row r="7">
      <c r="A7" s="28" t="s">
        <v>93</v>
      </c>
      <c r="B7" s="28" t="s">
        <v>24</v>
      </c>
      <c r="C7" s="27"/>
    </row>
    <row r="8">
      <c r="A8" s="28" t="s">
        <v>146</v>
      </c>
      <c r="B8" s="28" t="s">
        <v>147</v>
      </c>
      <c r="C8" s="27"/>
    </row>
    <row r="9">
      <c r="A9" s="28" t="s">
        <v>148</v>
      </c>
      <c r="B9" s="28" t="s">
        <v>149</v>
      </c>
      <c r="C9" s="27"/>
    </row>
    <row r="10">
      <c r="A10" s="28" t="s">
        <v>150</v>
      </c>
      <c r="B10" s="28" t="s">
        <v>24</v>
      </c>
      <c r="C10" s="27"/>
    </row>
    <row r="11">
      <c r="A11" s="28" t="s">
        <v>56</v>
      </c>
      <c r="B11" s="28" t="s">
        <v>144</v>
      </c>
      <c r="C11" s="27"/>
    </row>
    <row r="12">
      <c r="A12" s="28" t="s">
        <v>151</v>
      </c>
      <c r="B12" s="28" t="s">
        <v>143</v>
      </c>
      <c r="C12" s="27"/>
    </row>
    <row r="13">
      <c r="A13" s="28" t="s">
        <v>152</v>
      </c>
      <c r="B13" s="28" t="s">
        <v>142</v>
      </c>
      <c r="C13" s="27"/>
    </row>
    <row r="14">
      <c r="A14" s="29" t="s">
        <v>153</v>
      </c>
      <c r="B14" s="29" t="s">
        <v>28</v>
      </c>
      <c r="C14" s="30"/>
    </row>
    <row r="15">
      <c r="A15" s="29" t="s">
        <v>154</v>
      </c>
      <c r="B15" s="29" t="s">
        <v>155</v>
      </c>
      <c r="C15" s="30"/>
    </row>
    <row r="16">
      <c r="A16" s="29" t="s">
        <v>156</v>
      </c>
      <c r="B16" s="29" t="s">
        <v>157</v>
      </c>
      <c r="C16" s="30"/>
    </row>
    <row r="17">
      <c r="A17" s="28" t="s">
        <v>27</v>
      </c>
      <c r="B17" s="29" t="s">
        <v>28</v>
      </c>
      <c r="C17" s="29">
        <v>50.0</v>
      </c>
    </row>
    <row r="18">
      <c r="A18" s="29" t="s">
        <v>94</v>
      </c>
      <c r="B18" s="29" t="s">
        <v>142</v>
      </c>
      <c r="C18" s="29">
        <v>9.0</v>
      </c>
    </row>
    <row r="19">
      <c r="A19" s="29" t="s">
        <v>98</v>
      </c>
      <c r="B19" s="29" t="s">
        <v>144</v>
      </c>
      <c r="C19" s="30"/>
    </row>
    <row r="20">
      <c r="A20" s="29" t="s">
        <v>158</v>
      </c>
      <c r="B20" s="29" t="s">
        <v>28</v>
      </c>
      <c r="C20" s="30"/>
    </row>
    <row r="21">
      <c r="A21" s="29" t="s">
        <v>159</v>
      </c>
      <c r="B21" s="29" t="s">
        <v>143</v>
      </c>
      <c r="C21" s="30"/>
    </row>
    <row r="22">
      <c r="A22" s="29" t="s">
        <v>160</v>
      </c>
      <c r="B22" s="29" t="s">
        <v>144</v>
      </c>
      <c r="C22" s="30"/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9.71"/>
    <col customWidth="1" min="3" max="3" width="10.14"/>
  </cols>
  <sheetData>
    <row r="1">
      <c r="A1" s="23" t="s">
        <v>14</v>
      </c>
      <c r="B1" s="24"/>
      <c r="C1" s="25"/>
      <c r="D1" s="26" t="s">
        <v>19</v>
      </c>
      <c r="E1" s="27">
        <f>SUM(C:C)</f>
        <v>74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161</v>
      </c>
      <c r="B3" s="28" t="s">
        <v>39</v>
      </c>
      <c r="C3" s="27"/>
    </row>
    <row r="4">
      <c r="A4" s="28" t="s">
        <v>162</v>
      </c>
      <c r="B4" s="27"/>
      <c r="C4" s="27"/>
    </row>
    <row r="5">
      <c r="A5" s="28" t="s">
        <v>163</v>
      </c>
      <c r="B5" s="27"/>
      <c r="C5" s="27"/>
    </row>
    <row r="6">
      <c r="A6" s="28" t="s">
        <v>164</v>
      </c>
      <c r="B6" s="28" t="s">
        <v>165</v>
      </c>
      <c r="C6" s="28">
        <v>24.0</v>
      </c>
    </row>
    <row r="7">
      <c r="A7" s="28" t="s">
        <v>166</v>
      </c>
      <c r="B7" s="28" t="s">
        <v>48</v>
      </c>
      <c r="C7" s="27"/>
    </row>
    <row r="8">
      <c r="A8" s="28" t="s">
        <v>27</v>
      </c>
      <c r="B8" s="28" t="s">
        <v>28</v>
      </c>
      <c r="C8" s="28">
        <v>50.0</v>
      </c>
    </row>
    <row r="9">
      <c r="A9" s="28" t="s">
        <v>122</v>
      </c>
      <c r="B9" s="27"/>
      <c r="C9" s="27"/>
    </row>
    <row r="10">
      <c r="A10" s="28" t="s">
        <v>167</v>
      </c>
      <c r="B10" s="27"/>
      <c r="C10" s="27"/>
    </row>
    <row r="11">
      <c r="A11" s="28" t="s">
        <v>168</v>
      </c>
      <c r="B11" s="27"/>
      <c r="C11" s="27"/>
    </row>
    <row r="12">
      <c r="A12" s="28" t="s">
        <v>82</v>
      </c>
      <c r="B12" s="27"/>
      <c r="C12" s="27"/>
    </row>
    <row r="13">
      <c r="A13" s="28" t="s">
        <v>169</v>
      </c>
      <c r="B13" s="27"/>
      <c r="C13" s="27"/>
    </row>
    <row r="14">
      <c r="A14" s="28" t="s">
        <v>31</v>
      </c>
      <c r="B14" s="28" t="s">
        <v>24</v>
      </c>
      <c r="C14" s="27"/>
    </row>
    <row r="15">
      <c r="A15" s="28" t="s">
        <v>170</v>
      </c>
      <c r="B15" s="27"/>
      <c r="C15" s="27"/>
    </row>
    <row r="16">
      <c r="A16" s="29" t="s">
        <v>171</v>
      </c>
      <c r="B16" s="30"/>
      <c r="C16" s="30"/>
    </row>
    <row r="17">
      <c r="A17" s="29" t="s">
        <v>172</v>
      </c>
      <c r="B17" s="30"/>
      <c r="C17" s="30"/>
    </row>
    <row r="18">
      <c r="A18" s="29" t="s">
        <v>173</v>
      </c>
      <c r="B18" s="30"/>
      <c r="C18" s="30"/>
    </row>
    <row r="19">
      <c r="A19" s="29" t="s">
        <v>174</v>
      </c>
      <c r="B19" s="30"/>
      <c r="C19" s="30"/>
    </row>
    <row r="20">
      <c r="A20" s="29" t="s">
        <v>175</v>
      </c>
      <c r="B20" s="30"/>
      <c r="C20" s="30"/>
    </row>
    <row r="21">
      <c r="A21" s="29" t="s">
        <v>148</v>
      </c>
      <c r="B21" s="30"/>
      <c r="C21" s="30"/>
    </row>
    <row r="22">
      <c r="A22" s="29" t="s">
        <v>176</v>
      </c>
      <c r="B22" s="30"/>
      <c r="C22" s="30"/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6.71"/>
  </cols>
  <sheetData>
    <row r="1">
      <c r="A1" s="31" t="s">
        <v>177</v>
      </c>
      <c r="B1" s="24"/>
      <c r="C1" s="25"/>
      <c r="D1" s="26" t="s">
        <v>19</v>
      </c>
      <c r="E1" s="27">
        <f>SUM(C:C)</f>
        <v>61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163</v>
      </c>
      <c r="B3" s="28" t="s">
        <v>178</v>
      </c>
      <c r="C3" s="27"/>
    </row>
    <row r="4">
      <c r="A4" s="28" t="s">
        <v>179</v>
      </c>
      <c r="B4" s="27"/>
      <c r="C4" s="27"/>
    </row>
    <row r="5">
      <c r="A5" s="28" t="s">
        <v>180</v>
      </c>
      <c r="B5" s="28" t="s">
        <v>39</v>
      </c>
      <c r="C5" s="27"/>
    </row>
    <row r="6">
      <c r="A6" s="28" t="s">
        <v>181</v>
      </c>
      <c r="B6" s="27"/>
      <c r="C6" s="27"/>
    </row>
    <row r="7">
      <c r="A7" s="28" t="s">
        <v>182</v>
      </c>
      <c r="B7" s="28" t="s">
        <v>183</v>
      </c>
      <c r="C7" s="27"/>
    </row>
    <row r="8">
      <c r="A8" s="28" t="s">
        <v>184</v>
      </c>
      <c r="B8" s="27"/>
      <c r="C8" s="27"/>
    </row>
    <row r="9">
      <c r="A9" s="28" t="s">
        <v>122</v>
      </c>
      <c r="B9" s="28" t="s">
        <v>185</v>
      </c>
      <c r="C9" s="27"/>
    </row>
    <row r="10">
      <c r="A10" s="28" t="s">
        <v>186</v>
      </c>
      <c r="B10" s="27"/>
      <c r="C10" s="27"/>
    </row>
    <row r="11">
      <c r="A11" s="28" t="s">
        <v>27</v>
      </c>
      <c r="B11" s="28" t="s">
        <v>187</v>
      </c>
      <c r="C11" s="28">
        <v>50.0</v>
      </c>
    </row>
    <row r="12">
      <c r="A12" s="28" t="s">
        <v>54</v>
      </c>
      <c r="B12" s="28" t="s">
        <v>183</v>
      </c>
      <c r="C12" s="27"/>
    </row>
    <row r="13">
      <c r="A13" s="28" t="s">
        <v>123</v>
      </c>
      <c r="B13" s="27"/>
      <c r="C13" s="27"/>
    </row>
    <row r="14">
      <c r="A14" s="29" t="s">
        <v>188</v>
      </c>
      <c r="B14" s="30"/>
      <c r="C14" s="30"/>
    </row>
    <row r="15">
      <c r="A15" s="29" t="s">
        <v>133</v>
      </c>
      <c r="B15" s="30"/>
      <c r="C15" s="30"/>
    </row>
    <row r="16">
      <c r="A16" s="29" t="s">
        <v>189</v>
      </c>
      <c r="B16" s="30"/>
      <c r="C16" s="30"/>
    </row>
    <row r="17">
      <c r="A17" s="29" t="s">
        <v>190</v>
      </c>
      <c r="B17" s="29" t="s">
        <v>191</v>
      </c>
      <c r="C17" s="30"/>
    </row>
    <row r="18">
      <c r="A18" s="29" t="s">
        <v>192</v>
      </c>
      <c r="B18" s="30"/>
      <c r="C18" s="30"/>
    </row>
    <row r="19">
      <c r="A19" s="29" t="s">
        <v>193</v>
      </c>
      <c r="B19" s="29" t="s">
        <v>194</v>
      </c>
      <c r="C19" s="30"/>
    </row>
    <row r="20">
      <c r="A20" s="29" t="s">
        <v>195</v>
      </c>
      <c r="B20" s="30"/>
      <c r="C20" s="30"/>
    </row>
    <row r="21">
      <c r="A21" s="29" t="s">
        <v>46</v>
      </c>
      <c r="B21" s="30"/>
      <c r="C21" s="29">
        <v>11.0</v>
      </c>
    </row>
    <row r="22">
      <c r="A22" s="29" t="s">
        <v>196</v>
      </c>
      <c r="B22" s="30"/>
      <c r="C22" s="30"/>
    </row>
  </sheetData>
  <mergeCells count="1">
    <mergeCell ref="A1: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6.71"/>
  </cols>
  <sheetData>
    <row r="1">
      <c r="A1" s="31" t="s">
        <v>197</v>
      </c>
      <c r="B1" s="24"/>
      <c r="C1" s="25"/>
      <c r="D1" s="26" t="s">
        <v>19</v>
      </c>
      <c r="E1" s="27">
        <f>SUM(C:C)</f>
        <v>61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198</v>
      </c>
      <c r="B3" s="28" t="s">
        <v>36</v>
      </c>
      <c r="C3" s="27"/>
    </row>
    <row r="4">
      <c r="A4" s="28" t="s">
        <v>199</v>
      </c>
      <c r="B4" s="28" t="s">
        <v>200</v>
      </c>
      <c r="C4" s="27"/>
    </row>
    <row r="5">
      <c r="A5" s="28" t="s">
        <v>170</v>
      </c>
      <c r="B5" s="28" t="s">
        <v>36</v>
      </c>
      <c r="C5" s="27"/>
    </row>
    <row r="6">
      <c r="A6" s="28" t="s">
        <v>190</v>
      </c>
      <c r="B6" s="28" t="s">
        <v>201</v>
      </c>
      <c r="C6" s="27"/>
    </row>
    <row r="7">
      <c r="A7" s="29" t="s">
        <v>46</v>
      </c>
      <c r="B7" s="28" t="s">
        <v>202</v>
      </c>
      <c r="C7" s="28">
        <v>11.0</v>
      </c>
    </row>
    <row r="8">
      <c r="A8" s="28" t="s">
        <v>203</v>
      </c>
      <c r="B8" s="28" t="s">
        <v>69</v>
      </c>
      <c r="C8" s="27"/>
    </row>
    <row r="9">
      <c r="A9" s="28" t="s">
        <v>204</v>
      </c>
      <c r="B9" s="28" t="s">
        <v>48</v>
      </c>
      <c r="C9" s="27"/>
    </row>
    <row r="10">
      <c r="A10" s="28" t="s">
        <v>205</v>
      </c>
      <c r="B10" s="28" t="s">
        <v>55</v>
      </c>
      <c r="C10" s="27"/>
    </row>
    <row r="11">
      <c r="A11" s="28" t="s">
        <v>206</v>
      </c>
      <c r="B11" s="28" t="s">
        <v>207</v>
      </c>
      <c r="C11" s="27"/>
    </row>
    <row r="12">
      <c r="A12" s="28" t="s">
        <v>163</v>
      </c>
      <c r="B12" s="28" t="s">
        <v>39</v>
      </c>
      <c r="C12" s="27"/>
    </row>
    <row r="13">
      <c r="A13" s="28" t="s">
        <v>208</v>
      </c>
      <c r="B13" s="28" t="s">
        <v>209</v>
      </c>
      <c r="C13" s="27"/>
    </row>
    <row r="14">
      <c r="A14" s="29" t="s">
        <v>210</v>
      </c>
      <c r="B14" s="29" t="s">
        <v>211</v>
      </c>
      <c r="C14" s="30"/>
    </row>
    <row r="15">
      <c r="A15" s="29" t="s">
        <v>212</v>
      </c>
      <c r="B15" s="29" t="s">
        <v>144</v>
      </c>
      <c r="C15" s="30"/>
    </row>
    <row r="16">
      <c r="A16" s="28" t="s">
        <v>27</v>
      </c>
      <c r="B16" s="29" t="s">
        <v>213</v>
      </c>
      <c r="C16" s="29">
        <v>50.0</v>
      </c>
    </row>
    <row r="17">
      <c r="A17" s="29" t="s">
        <v>173</v>
      </c>
      <c r="B17" s="29" t="s">
        <v>214</v>
      </c>
      <c r="C17" s="30"/>
    </row>
    <row r="18">
      <c r="A18" s="29" t="s">
        <v>61</v>
      </c>
      <c r="B18" s="29" t="s">
        <v>55</v>
      </c>
      <c r="C18" s="30"/>
    </row>
    <row r="19">
      <c r="A19" s="29" t="s">
        <v>215</v>
      </c>
      <c r="B19" s="29" t="s">
        <v>191</v>
      </c>
      <c r="C19" s="30"/>
    </row>
    <row r="20">
      <c r="A20" s="29" t="s">
        <v>216</v>
      </c>
      <c r="B20" s="29" t="s">
        <v>217</v>
      </c>
      <c r="C20" s="30"/>
    </row>
    <row r="21">
      <c r="A21" s="29" t="s">
        <v>102</v>
      </c>
      <c r="B21" s="29" t="s">
        <v>55</v>
      </c>
      <c r="C21" s="30"/>
    </row>
    <row r="22">
      <c r="A22" s="29" t="s">
        <v>218</v>
      </c>
      <c r="B22" s="29" t="s">
        <v>191</v>
      </c>
      <c r="C22" s="30"/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</cols>
  <sheetData>
    <row r="1">
      <c r="A1" s="23" t="s">
        <v>6</v>
      </c>
      <c r="B1" s="24"/>
      <c r="C1" s="25"/>
      <c r="D1" s="26" t="s">
        <v>19</v>
      </c>
      <c r="E1" s="27">
        <f>SUM(C:C)</f>
        <v>58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219</v>
      </c>
      <c r="B3" s="28" t="s">
        <v>39</v>
      </c>
      <c r="C3" s="27"/>
    </row>
    <row r="4">
      <c r="A4" s="28" t="s">
        <v>220</v>
      </c>
      <c r="B4" s="28" t="s">
        <v>221</v>
      </c>
      <c r="C4" s="27"/>
    </row>
    <row r="5">
      <c r="A5" s="28" t="s">
        <v>222</v>
      </c>
      <c r="B5" s="28" t="s">
        <v>223</v>
      </c>
      <c r="C5" s="27"/>
    </row>
    <row r="6">
      <c r="A6" s="28" t="s">
        <v>166</v>
      </c>
      <c r="B6" s="28" t="s">
        <v>221</v>
      </c>
      <c r="C6" s="27"/>
    </row>
    <row r="7">
      <c r="A7" s="28" t="s">
        <v>224</v>
      </c>
      <c r="B7" s="28" t="s">
        <v>64</v>
      </c>
      <c r="C7" s="27"/>
    </row>
    <row r="8">
      <c r="A8" s="28" t="s">
        <v>225</v>
      </c>
      <c r="B8" s="28" t="s">
        <v>226</v>
      </c>
      <c r="C8" s="28">
        <v>11.0</v>
      </c>
    </row>
    <row r="9">
      <c r="A9" s="28" t="s">
        <v>125</v>
      </c>
      <c r="B9" s="27"/>
      <c r="C9" s="27"/>
    </row>
    <row r="10">
      <c r="A10" s="28" t="s">
        <v>227</v>
      </c>
      <c r="B10" s="28" t="s">
        <v>228</v>
      </c>
      <c r="C10" s="27"/>
    </row>
    <row r="11">
      <c r="A11" s="28" t="s">
        <v>23</v>
      </c>
      <c r="B11" s="28" t="s">
        <v>228</v>
      </c>
      <c r="C11" s="28">
        <v>23.0</v>
      </c>
    </row>
    <row r="12">
      <c r="A12" s="28" t="s">
        <v>151</v>
      </c>
      <c r="B12" s="28" t="s">
        <v>229</v>
      </c>
      <c r="C12" s="27"/>
    </row>
    <row r="13">
      <c r="A13" s="29" t="s">
        <v>230</v>
      </c>
      <c r="B13" s="29" t="s">
        <v>231</v>
      </c>
      <c r="C13" s="30"/>
    </row>
    <row r="14">
      <c r="A14" s="7" t="s">
        <v>164</v>
      </c>
      <c r="B14" s="28" t="s">
        <v>228</v>
      </c>
      <c r="C14" s="29">
        <v>24.0</v>
      </c>
    </row>
    <row r="15">
      <c r="A15" s="29" t="s">
        <v>82</v>
      </c>
      <c r="B15" s="30"/>
      <c r="C15" s="30"/>
    </row>
    <row r="16">
      <c r="A16" s="29" t="s">
        <v>232</v>
      </c>
      <c r="B16" s="30"/>
      <c r="C16" s="30"/>
    </row>
    <row r="17">
      <c r="A17" s="29" t="s">
        <v>233</v>
      </c>
      <c r="B17" s="29" t="s">
        <v>234</v>
      </c>
      <c r="C17" s="30"/>
    </row>
    <row r="18">
      <c r="A18" s="29" t="s">
        <v>61</v>
      </c>
      <c r="B18" s="29" t="s">
        <v>235</v>
      </c>
      <c r="C18" s="30"/>
    </row>
    <row r="19">
      <c r="A19" s="29" t="s">
        <v>163</v>
      </c>
      <c r="B19" s="29" t="s">
        <v>144</v>
      </c>
      <c r="C19" s="30"/>
    </row>
    <row r="20">
      <c r="A20" s="29" t="s">
        <v>176</v>
      </c>
      <c r="B20" s="29" t="s">
        <v>24</v>
      </c>
      <c r="C20" s="30"/>
    </row>
    <row r="21">
      <c r="A21" s="29" t="s">
        <v>236</v>
      </c>
      <c r="B21" s="29" t="s">
        <v>69</v>
      </c>
      <c r="C21" s="30"/>
    </row>
    <row r="22">
      <c r="A22" s="29" t="s">
        <v>73</v>
      </c>
      <c r="B22" s="30"/>
      <c r="C22" s="30"/>
    </row>
  </sheetData>
  <mergeCells count="1">
    <mergeCell ref="A1:C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6.71"/>
  </cols>
  <sheetData>
    <row r="1">
      <c r="A1" s="31" t="s">
        <v>237</v>
      </c>
      <c r="B1" s="24"/>
      <c r="C1" s="25"/>
      <c r="D1" s="26" t="s">
        <v>19</v>
      </c>
      <c r="E1" s="27">
        <f>SUM(C:C)</f>
        <v>50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56</v>
      </c>
      <c r="B3" s="28" t="s">
        <v>39</v>
      </c>
      <c r="C3" s="27"/>
    </row>
    <row r="4">
      <c r="A4" s="28" t="s">
        <v>238</v>
      </c>
      <c r="B4" s="28" t="s">
        <v>239</v>
      </c>
      <c r="C4" s="27"/>
    </row>
    <row r="5">
      <c r="A5" s="28" t="s">
        <v>27</v>
      </c>
      <c r="B5" s="28" t="s">
        <v>28</v>
      </c>
      <c r="C5" s="28">
        <v>50.0</v>
      </c>
    </row>
    <row r="6">
      <c r="A6" s="28" t="s">
        <v>68</v>
      </c>
      <c r="B6" s="27"/>
      <c r="C6" s="27"/>
    </row>
    <row r="7">
      <c r="A7" s="28" t="s">
        <v>240</v>
      </c>
      <c r="B7" s="28" t="s">
        <v>28</v>
      </c>
      <c r="C7" s="27"/>
    </row>
    <row r="8">
      <c r="A8" s="28" t="s">
        <v>241</v>
      </c>
      <c r="B8" s="28" t="s">
        <v>242</v>
      </c>
      <c r="C8" s="27"/>
    </row>
    <row r="9">
      <c r="A9" s="28" t="s">
        <v>243</v>
      </c>
      <c r="B9" s="27"/>
      <c r="C9" s="27"/>
    </row>
    <row r="10">
      <c r="A10" s="28" t="s">
        <v>81</v>
      </c>
      <c r="B10" s="28" t="s">
        <v>244</v>
      </c>
      <c r="C10" s="27"/>
    </row>
    <row r="11">
      <c r="A11" s="28" t="s">
        <v>148</v>
      </c>
      <c r="B11" s="27"/>
      <c r="C11" s="27"/>
    </row>
    <row r="12">
      <c r="A12" s="28" t="s">
        <v>245</v>
      </c>
      <c r="B12" s="28" t="s">
        <v>246</v>
      </c>
      <c r="C12" s="27"/>
    </row>
    <row r="13">
      <c r="A13" s="28" t="s">
        <v>61</v>
      </c>
      <c r="B13" s="27"/>
      <c r="C13" s="27"/>
    </row>
    <row r="14">
      <c r="A14" s="29" t="s">
        <v>93</v>
      </c>
      <c r="B14" s="29" t="s">
        <v>69</v>
      </c>
      <c r="C14" s="30"/>
    </row>
    <row r="15">
      <c r="A15" s="29" t="s">
        <v>247</v>
      </c>
      <c r="B15" s="29" t="s">
        <v>248</v>
      </c>
      <c r="C15" s="30"/>
    </row>
    <row r="16">
      <c r="A16" s="29" t="s">
        <v>249</v>
      </c>
      <c r="B16" s="30"/>
      <c r="C16" s="30"/>
    </row>
    <row r="17">
      <c r="A17" s="29" t="s">
        <v>232</v>
      </c>
      <c r="B17" s="30"/>
      <c r="C17" s="30"/>
    </row>
    <row r="18">
      <c r="A18" s="29" t="s">
        <v>250</v>
      </c>
      <c r="B18" s="29" t="s">
        <v>246</v>
      </c>
      <c r="C18" s="30"/>
    </row>
    <row r="19">
      <c r="A19" s="29" t="s">
        <v>251</v>
      </c>
      <c r="B19" s="29" t="s">
        <v>252</v>
      </c>
      <c r="C19" s="30"/>
    </row>
    <row r="20">
      <c r="A20" s="29" t="s">
        <v>253</v>
      </c>
      <c r="B20" s="29" t="s">
        <v>254</v>
      </c>
      <c r="C20" s="30"/>
    </row>
    <row r="21">
      <c r="A21" s="29" t="s">
        <v>255</v>
      </c>
      <c r="B21" s="29" t="s">
        <v>248</v>
      </c>
      <c r="C21" s="30"/>
    </row>
    <row r="22">
      <c r="A22" s="29" t="s">
        <v>87</v>
      </c>
      <c r="B22" s="29" t="s">
        <v>252</v>
      </c>
      <c r="C22" s="30"/>
    </row>
  </sheetData>
  <mergeCells count="1">
    <mergeCell ref="A1:C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6.71"/>
  </cols>
  <sheetData>
    <row r="1">
      <c r="A1" s="31" t="s">
        <v>256</v>
      </c>
      <c r="B1" s="24"/>
      <c r="C1" s="25"/>
      <c r="D1" s="26" t="s">
        <v>19</v>
      </c>
      <c r="E1" s="27">
        <f>SUM(C:C)</f>
        <v>24</v>
      </c>
    </row>
    <row r="2">
      <c r="A2" s="27" t="s">
        <v>20</v>
      </c>
      <c r="B2" s="27" t="s">
        <v>21</v>
      </c>
      <c r="C2" s="27" t="s">
        <v>22</v>
      </c>
    </row>
    <row r="3">
      <c r="A3" s="28" t="s">
        <v>63</v>
      </c>
      <c r="B3" s="27"/>
      <c r="C3" s="27"/>
    </row>
    <row r="4">
      <c r="A4" s="28" t="s">
        <v>257</v>
      </c>
      <c r="B4" s="27"/>
      <c r="C4" s="27"/>
    </row>
    <row r="5">
      <c r="A5" s="28" t="s">
        <v>258</v>
      </c>
      <c r="B5" s="28" t="s">
        <v>259</v>
      </c>
      <c r="C5" s="27"/>
    </row>
    <row r="6">
      <c r="A6" s="28" t="s">
        <v>260</v>
      </c>
      <c r="B6" s="27"/>
      <c r="C6" s="27"/>
    </row>
    <row r="7">
      <c r="A7" s="28" t="s">
        <v>261</v>
      </c>
      <c r="B7" s="28" t="s">
        <v>39</v>
      </c>
      <c r="C7" s="28">
        <v>24.0</v>
      </c>
    </row>
    <row r="8">
      <c r="A8" s="28" t="s">
        <v>262</v>
      </c>
      <c r="B8" s="27"/>
      <c r="C8" s="27"/>
    </row>
    <row r="9">
      <c r="A9" s="28" t="s">
        <v>263</v>
      </c>
      <c r="B9" s="27"/>
      <c r="C9" s="27"/>
    </row>
    <row r="10">
      <c r="A10" s="28" t="s">
        <v>264</v>
      </c>
      <c r="B10" s="28" t="s">
        <v>265</v>
      </c>
      <c r="C10" s="27"/>
    </row>
    <row r="11">
      <c r="A11" s="28" t="s">
        <v>266</v>
      </c>
      <c r="B11" s="28" t="s">
        <v>267</v>
      </c>
      <c r="C11" s="27"/>
    </row>
    <row r="12">
      <c r="A12" s="28" t="s">
        <v>268</v>
      </c>
      <c r="B12" s="27"/>
      <c r="C12" s="27"/>
    </row>
    <row r="13">
      <c r="A13" s="28" t="s">
        <v>87</v>
      </c>
      <c r="B13" s="28" t="s">
        <v>269</v>
      </c>
      <c r="C13" s="27"/>
    </row>
    <row r="14">
      <c r="A14" s="29" t="s">
        <v>270</v>
      </c>
      <c r="B14" s="30"/>
      <c r="C14" s="30"/>
    </row>
    <row r="15">
      <c r="A15" s="29" t="s">
        <v>271</v>
      </c>
      <c r="B15" s="30"/>
      <c r="C15" s="30"/>
    </row>
    <row r="16">
      <c r="A16" s="29" t="s">
        <v>272</v>
      </c>
      <c r="B16" s="30"/>
      <c r="C16" s="30"/>
    </row>
    <row r="17">
      <c r="A17" s="29" t="s">
        <v>273</v>
      </c>
      <c r="B17" s="30"/>
      <c r="C17" s="30"/>
    </row>
    <row r="18">
      <c r="A18" s="29" t="s">
        <v>274</v>
      </c>
      <c r="B18" s="30"/>
      <c r="C18" s="30"/>
    </row>
    <row r="19">
      <c r="A19" s="29" t="s">
        <v>275</v>
      </c>
      <c r="B19" s="30"/>
      <c r="C19" s="30"/>
    </row>
    <row r="20">
      <c r="A20" s="29" t="s">
        <v>276</v>
      </c>
      <c r="B20" s="30"/>
      <c r="C20" s="30"/>
    </row>
    <row r="21">
      <c r="A21" s="29" t="s">
        <v>277</v>
      </c>
      <c r="B21" s="30"/>
      <c r="C21" s="30"/>
    </row>
    <row r="22">
      <c r="A22" s="30"/>
      <c r="B22" s="30"/>
      <c r="C22" s="30"/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49.86"/>
    <col customWidth="1" min="3" max="3" width="47.0"/>
  </cols>
  <sheetData>
    <row r="1">
      <c r="A1" s="32" t="s">
        <v>278</v>
      </c>
      <c r="B1" s="33" t="s">
        <v>279</v>
      </c>
      <c r="C1" s="17" t="s">
        <v>280</v>
      </c>
    </row>
    <row r="2">
      <c r="A2" s="32" t="str">
        <f>IFERROR(__xludf.DUMMYFUNCTION("FILTER(UNIQUE(FLATTEN(Angela!A3:A5506,Rayreis!A3:A5506,'Bruno bizarro'!A3:A5506,Bozsa!A3:A5506,Felipe!A3:A5506,Luan!A3:A5506,Ray!A3:A5506,Raul!A3:A5506,Ricardo!A3:A5506,pixote!A3:A5506,Lucas!A3:A5506,Will!A3:A5506)), NOT(ISBLANK(UNIQUE(FLATTEN(Angela!A3:A"&amp;"5506,Rayreis!A3:A5506,'Bruno bizarro'!A3:A5506,Bozsa!A3:A5506,Felipe!A3:A5506,Luan!A3:A5506,Ray!A3:A5506,Raul!A3:A5506,Ricardo!A3:A5506,pixote!A3:A5506,Lucas!A3:A5506,Will!A3:A5506)))))"),"fuad noman")</f>
        <v>fuad noman</v>
      </c>
      <c r="B2" s="34" t="str">
        <f>TEXTJOIN(", ", TRUE,
  IF(COUNTIF(Angela!$A$3:$A$5506, A2), Angela!$A$1, ),
  IF(COUNTIF(Rayreis!$A$3:$A$5506, A2), Rayreis!$A$1, ),
  IF(COUNTIF('Bruno bizarro'!$A$3:$A$5506, A2), 'Bruno bizarro'!$A$1, ),
  IF(COUNTIF(Bozsa!$A$3:$A$5506, A2), Bozsa!$A$1, ),
  IF(COUNTIF(Felipe!$A$3:$A$5506, A2), Felipe!$A$1, ),
  IF(COUNTIF(Luan!$A$3:$A$5506, A2), Luan!$A$1, ),
  IF(COUNTIF(Ray!$A$3:$A$5506, A2), Ray!$A$1, ),
  IF(COUNTIF(Raul!$A$3:$A$5506, A2), Raul!$A$1, ),
  IF(COUNTIF(Ricardo!$A$3:$A$5506, A2), Ricardo!$A$1, ),
  IF(COUNTIF(pixote!$A$3:$A$5506, A2), pixote!$A$1, ),
  IF(COUNTIF(Lucas!$A$3:$A$5506, A2), Lucas!$A$1, ),
  IF(COUNTIF(Will!$A$3:$A$5506, A2), Will!$A$1, )
)
</f>
        <v>ANGELA, WILL</v>
      </c>
      <c r="C2" s="17" t="s">
        <v>281</v>
      </c>
    </row>
    <row r="3" hidden="1">
      <c r="A3" s="7" t="str">
        <f>IFERROR(__xludf.DUMMYFUNCTION("""COMPUTED_VALUE"""),"Tony tornado")</f>
        <v>Tony tornado</v>
      </c>
      <c r="B3" s="35" t="str">
        <f>TEXTJOIN(", ", TRUE,
  IF(COUNTIF(Angela!$A$3:$A$5506, A3), Angela!$A$1, ),
  IF(COUNTIF(Rayreis!$A$3:$A$5506, A3), Rayreis!$A$1, ),
  IF(COUNTIF('Bruno bizarro'!$A$3:$A$5506, A3), 'Bruno bizarro'!$A$1, ),
  IF(COUNTIF(Bozsa!$A$3:$A$5506, A3), Bozsa!$A$1, ),
  IF(COUNTIF(Felipe!$A$3:$A$5506, A3), Felipe!$A$1, ),
  IF(COUNTIF(Luan!$A$3:$A$5506, A3), Luan!$A$1, ),
  IF(COUNTIF(Ray!$A$3:$A$5506, A3), Ray!$A$1, ),
  IF(COUNTIF(Raul!$A$3:$A$5506, A3), Raul!$A$1, ),
  IF(COUNTIF(Ricardo!$A$3:$A$5506, A3), Ricardo!$A$1, ),
  IF(COUNTIF(pixote!$A$3:$A$5506, A3), pixote!$A$1, ),
  IF(COUNTIF(Lucas!$A$3:$A$5506, A3), Lucas!$A$1, ),
  IF(COUNTIF(Will!$A$3:$A$5506, A3), Will!$A$1, )
)
</f>
        <v>ANGELA, Ricardo (Coveiro)</v>
      </c>
      <c r="C3" s="12"/>
    </row>
    <row r="4">
      <c r="A4" s="7" t="str">
        <f>IFERROR(__xludf.DUMMYFUNCTION("""COMPUTED_VALUE"""),"Preta Gil")</f>
        <v>Preta Gil</v>
      </c>
      <c r="B4" s="34" t="str">
        <f>TEXTJOIN(", ", TRUE,
  IF(COUNTIF(Angela!$A$3:$A$5506, A4), Angela!$A$1, ),
  IF(COUNTIF(Rayreis!$A$3:$A$5506, A4), Rayreis!$A$1, ),
  IF(COUNTIF('Bruno bizarro'!$A$3:$A$5506, A4), 'Bruno bizarro'!$A$1, ),
  IF(COUNTIF(Bozsa!$A$3:$A$5506, A4), Bozsa!$A$1, ),
  IF(COUNTIF(Felipe!$A$3:$A$5506, A4), Felipe!$A$1, ),
  IF(COUNTIF(Luan!$A$3:$A$5506, A4), Luan!$A$1, ),
  IF(COUNTIF(Ray!$A$3:$A$5506, A4), Ray!$A$1, ),
  IF(COUNTIF(Raul!$A$3:$A$5506, A4), Raul!$A$1, ),
  IF(COUNTIF(Ricardo!$A$3:$A$5506, A4), Ricardo!$A$1, ),
  IF(COUNTIF(pixote!$A$3:$A$5506, A4), pixote!$A$1, ),
  IF(COUNTIF(Lucas!$A$3:$A$5506, A4), Lucas!$A$1, ),
  IF(COUNTIF(Will!$A$3:$A$5506, A4), Will!$A$1, )
)
</f>
        <v>ANGELA, Ray satanista, Bruno bizarro (letra ruim), BOZSA, Felipe, Luan viado, RAY, RAUL (ex-Coveiro) , Ricardo (Coveiro), Pixote</v>
      </c>
      <c r="C4" s="12" t="s">
        <v>282</v>
      </c>
    </row>
    <row r="5" hidden="1">
      <c r="A5" s="7" t="str">
        <f>IFERROR(__xludf.DUMMYFUNCTION("""COMPUTED_VALUE"""),"Edgar vivar")</f>
        <v>Edgar vivar</v>
      </c>
      <c r="B5" s="35" t="str">
        <f>TEXTJOIN(", ", TRUE,
  IF(COUNTIF(Angela!$A$3:$A$5506, A5), Angela!$A$1, ),
  IF(COUNTIF(Rayreis!$A$3:$A$5506, A5), Rayreis!$A$1, ),
  IF(COUNTIF('Bruno bizarro'!$A$3:$A$5506, A5), 'Bruno bizarro'!$A$1, ),
  IF(COUNTIF(Bozsa!$A$3:$A$5506, A5), Bozsa!$A$1, ),
  IF(COUNTIF(Felipe!$A$3:$A$5506, A5), Felipe!$A$1, ),
  IF(COUNTIF(Luan!$A$3:$A$5506, A5), Luan!$A$1, ),
  IF(COUNTIF(Ray!$A$3:$A$5506, A5), Ray!$A$1, ),
  IF(COUNTIF(Raul!$A$3:$A$5506, A5), Raul!$A$1, ),
  IF(COUNTIF(Ricardo!$A$3:$A$5506, A5), Ricardo!$A$1, ),
  IF(COUNTIF(pixote!$A$3:$A$5506, A5), pixote!$A$1, ),
  IF(COUNTIF(Lucas!$A$3:$A$5506, A5), Lucas!$A$1, ),
  IF(COUNTIF(Will!$A$3:$A$5506, A5), Will!$A$1, )
)
</f>
        <v>ANGELA</v>
      </c>
      <c r="C5" s="12"/>
    </row>
    <row r="6" hidden="1">
      <c r="A6" s="7" t="str">
        <f>IFERROR(__xludf.DUMMYFUNCTION("""COMPUTED_VALUE"""),"Mama bruschetta")</f>
        <v>Mama bruschetta</v>
      </c>
      <c r="B6" s="35" t="str">
        <f>TEXTJOIN(", ", TRUE,
  IF(COUNTIF(Angela!$A$3:$A$5506, A6), Angela!$A$1, ),
  IF(COUNTIF(Rayreis!$A$3:$A$5506, A6), Rayreis!$A$1, ),
  IF(COUNTIF('Bruno bizarro'!$A$3:$A$5506, A6), 'Bruno bizarro'!$A$1, ),
  IF(COUNTIF(Bozsa!$A$3:$A$5506, A6), Bozsa!$A$1, ),
  IF(COUNTIF(Felipe!$A$3:$A$5506, A6), Felipe!$A$1, ),
  IF(COUNTIF(Luan!$A$3:$A$5506, A6), Luan!$A$1, ),
  IF(COUNTIF(Ray!$A$3:$A$5506, A6), Ray!$A$1, ),
  IF(COUNTIF(Raul!$A$3:$A$5506, A6), Raul!$A$1, ),
  IF(COUNTIF(Ricardo!$A$3:$A$5506, A6), Ricardo!$A$1, ),
  IF(COUNTIF(pixote!$A$3:$A$5506, A6), pixote!$A$1, ),
  IF(COUNTIF(Lucas!$A$3:$A$5506, A6), Lucas!$A$1, ),
  IF(COUNTIF(Will!$A$3:$A$5506, A6), Will!$A$1, )
)
</f>
        <v>ANGELA, RAY, Ricardo (Coveiro)</v>
      </c>
      <c r="C6" s="12"/>
    </row>
    <row r="7" hidden="1">
      <c r="A7" s="7" t="str">
        <f>IFERROR(__xludf.DUMMYFUNCTION("""COMPUTED_VALUE"""),"Ringo starr")</f>
        <v>Ringo starr</v>
      </c>
      <c r="B7" s="35" t="str">
        <f>TEXTJOIN(", ", TRUE,
  IF(COUNTIF(Angela!$A$3:$A$5506, A7), Angela!$A$1, ),
  IF(COUNTIF(Rayreis!$A$3:$A$5506, A7), Rayreis!$A$1, ),
  IF(COUNTIF('Bruno bizarro'!$A$3:$A$5506, A7), 'Bruno bizarro'!$A$1, ),
  IF(COUNTIF(Bozsa!$A$3:$A$5506, A7), Bozsa!$A$1, ),
  IF(COUNTIF(Felipe!$A$3:$A$5506, A7), Felipe!$A$1, ),
  IF(COUNTIF(Luan!$A$3:$A$5506, A7), Luan!$A$1, ),
  IF(COUNTIF(Ray!$A$3:$A$5506, A7), Ray!$A$1, ),
  IF(COUNTIF(Raul!$A$3:$A$5506, A7), Raul!$A$1, ),
  IF(COUNTIF(Ricardo!$A$3:$A$5506, A7), Ricardo!$A$1, ),
  IF(COUNTIF(pixote!$A$3:$A$5506, A7), pixote!$A$1, ),
  IF(COUNTIF(Lucas!$A$3:$A$5506, A7), Lucas!$A$1, ),
  IF(COUNTIF(Will!$A$3:$A$5506, A7), Will!$A$1, )
)
</f>
        <v>ANGELA</v>
      </c>
      <c r="C7" s="12"/>
    </row>
    <row r="8" hidden="1">
      <c r="A8" s="7" t="str">
        <f>IFERROR(__xludf.DUMMYFUNCTION("""COMPUTED_VALUE"""),"Warren beatty")</f>
        <v>Warren beatty</v>
      </c>
      <c r="B8" s="35" t="str">
        <f>TEXTJOIN(", ", TRUE,
  IF(COUNTIF(Angela!$A$3:$A$5506, A8), Angela!$A$1, ),
  IF(COUNTIF(Rayreis!$A$3:$A$5506, A8), Rayreis!$A$1, ),
  IF(COUNTIF('Bruno bizarro'!$A$3:$A$5506, A8), 'Bruno bizarro'!$A$1, ),
  IF(COUNTIF(Bozsa!$A$3:$A$5506, A8), Bozsa!$A$1, ),
  IF(COUNTIF(Felipe!$A$3:$A$5506, A8), Felipe!$A$1, ),
  IF(COUNTIF(Luan!$A$3:$A$5506, A8), Luan!$A$1, ),
  IF(COUNTIF(Ray!$A$3:$A$5506, A8), Ray!$A$1, ),
  IF(COUNTIF(Raul!$A$3:$A$5506, A8), Raul!$A$1, ),
  IF(COUNTIF(Ricardo!$A$3:$A$5506, A8), Ricardo!$A$1, ),
  IF(COUNTIF(pixote!$A$3:$A$5506, A8), pixote!$A$1, ),
  IF(COUNTIF(Lucas!$A$3:$A$5506, A8), Lucas!$A$1, ),
  IF(COUNTIF(Will!$A$3:$A$5506, A8), Will!$A$1, )
)
</f>
        <v>ANGELA</v>
      </c>
      <c r="C8" s="12"/>
    </row>
    <row r="9" hidden="1">
      <c r="A9" s="7" t="str">
        <f>IFERROR(__xludf.DUMMYFUNCTION("""COMPUTED_VALUE"""),"Geoge w. bush")</f>
        <v>Geoge w. bush</v>
      </c>
      <c r="B9" s="35" t="str">
        <f>TEXTJOIN(", ", TRUE,
  IF(COUNTIF(Angela!$A$3:$A$5506, A9), Angela!$A$1, ),
  IF(COUNTIF(Rayreis!$A$3:$A$5506, A9), Rayreis!$A$1, ),
  IF(COUNTIF('Bruno bizarro'!$A$3:$A$5506, A9), 'Bruno bizarro'!$A$1, ),
  IF(COUNTIF(Bozsa!$A$3:$A$5506, A9), Bozsa!$A$1, ),
  IF(COUNTIF(Felipe!$A$3:$A$5506, A9), Felipe!$A$1, ),
  IF(COUNTIF(Luan!$A$3:$A$5506, A9), Luan!$A$1, ),
  IF(COUNTIF(Ray!$A$3:$A$5506, A9), Ray!$A$1, ),
  IF(COUNTIF(Raul!$A$3:$A$5506, A9), Raul!$A$1, ),
  IF(COUNTIF(Ricardo!$A$3:$A$5506, A9), Ricardo!$A$1, ),
  IF(COUNTIF(pixote!$A$3:$A$5506, A9), pixote!$A$1, ),
  IF(COUNTIF(Lucas!$A$3:$A$5506, A9), Lucas!$A$1, ),
  IF(COUNTIF(Will!$A$3:$A$5506, A9), Will!$A$1, )
)
</f>
        <v>ANGELA</v>
      </c>
      <c r="C9" s="12"/>
    </row>
    <row r="10" hidden="1">
      <c r="A10" s="7" t="str">
        <f>IFERROR(__xludf.DUMMYFUNCTION("""COMPUTED_VALUE"""),"Laura cadoso")</f>
        <v>Laura cadoso</v>
      </c>
      <c r="B10" s="35" t="str">
        <f>TEXTJOIN(", ", TRUE,
  IF(COUNTIF(Angela!$A$3:$A$5506, A10), Angela!$A$1, ),
  IF(COUNTIF(Rayreis!$A$3:$A$5506, A10), Rayreis!$A$1, ),
  IF(COUNTIF('Bruno bizarro'!$A$3:$A$5506, A10), 'Bruno bizarro'!$A$1, ),
  IF(COUNTIF(Bozsa!$A$3:$A$5506, A10), Bozsa!$A$1, ),
  IF(COUNTIF(Felipe!$A$3:$A$5506, A10), Felipe!$A$1, ),
  IF(COUNTIF(Luan!$A$3:$A$5506, A10), Luan!$A$1, ),
  IF(COUNTIF(Ray!$A$3:$A$5506, A10), Ray!$A$1, ),
  IF(COUNTIF(Raul!$A$3:$A$5506, A10), Raul!$A$1, ),
  IF(COUNTIF(Ricardo!$A$3:$A$5506, A10), Ricardo!$A$1, ),
  IF(COUNTIF(pixote!$A$3:$A$5506, A10), pixote!$A$1, ),
  IF(COUNTIF(Lucas!$A$3:$A$5506, A10), Lucas!$A$1, ),
  IF(COUNTIF(Will!$A$3:$A$5506, A10), Will!$A$1, )
)
</f>
        <v>ANGELA</v>
      </c>
      <c r="C10" s="12"/>
    </row>
    <row r="11" hidden="1">
      <c r="A11" s="7" t="str">
        <f>IFERROR(__xludf.DUMMYFUNCTION("""COMPUTED_VALUE"""),"Milton nacimento")</f>
        <v>Milton nacimento</v>
      </c>
      <c r="B11" s="35" t="str">
        <f>TEXTJOIN(", ", TRUE,
  IF(COUNTIF(Angela!$A$3:$A$5506, A11), Angela!$A$1, ),
  IF(COUNTIF(Rayreis!$A$3:$A$5506, A11), Rayreis!$A$1, ),
  IF(COUNTIF('Bruno bizarro'!$A$3:$A$5506, A11), 'Bruno bizarro'!$A$1, ),
  IF(COUNTIF(Bozsa!$A$3:$A$5506, A11), Bozsa!$A$1, ),
  IF(COUNTIF(Felipe!$A$3:$A$5506, A11), Felipe!$A$1, ),
  IF(COUNTIF(Luan!$A$3:$A$5506, A11), Luan!$A$1, ),
  IF(COUNTIF(Ray!$A$3:$A$5506, A11), Ray!$A$1, ),
  IF(COUNTIF(Raul!$A$3:$A$5506, A11), Raul!$A$1, ),
  IF(COUNTIF(Ricardo!$A$3:$A$5506, A11), Ricardo!$A$1, ),
  IF(COUNTIF(pixote!$A$3:$A$5506, A11), pixote!$A$1, ),
  IF(COUNTIF(Lucas!$A$3:$A$5506, A11), Lucas!$A$1, ),
  IF(COUNTIF(Will!$A$3:$A$5506, A11), Will!$A$1, )
)
</f>
        <v>ANGELA</v>
      </c>
      <c r="C11" s="12"/>
    </row>
    <row r="12" hidden="1">
      <c r="A12" s="7" t="str">
        <f>IFERROR(__xludf.DUMMYFUNCTION("""COMPUTED_VALUE"""),"Yayoi kusama")</f>
        <v>Yayoi kusama</v>
      </c>
      <c r="B12" s="35" t="str">
        <f>TEXTJOIN(", ", TRUE,
  IF(COUNTIF(Angela!$A$3:$A$5506, A12), Angela!$A$1, ),
  IF(COUNTIF(Rayreis!$A$3:$A$5506, A12), Rayreis!$A$1, ),
  IF(COUNTIF('Bruno bizarro'!$A$3:$A$5506, A12), 'Bruno bizarro'!$A$1, ),
  IF(COUNTIF(Bozsa!$A$3:$A$5506, A12), Bozsa!$A$1, ),
  IF(COUNTIF(Felipe!$A$3:$A$5506, A12), Felipe!$A$1, ),
  IF(COUNTIF(Luan!$A$3:$A$5506, A12), Luan!$A$1, ),
  IF(COUNTIF(Ray!$A$3:$A$5506, A12), Ray!$A$1, ),
  IF(COUNTIF(Raul!$A$3:$A$5506, A12), Raul!$A$1, ),
  IF(COUNTIF(Ricardo!$A$3:$A$5506, A12), Ricardo!$A$1, ),
  IF(COUNTIF(pixote!$A$3:$A$5506, A12), pixote!$A$1, ),
  IF(COUNTIF(Lucas!$A$3:$A$5506, A12), Lucas!$A$1, ),
  IF(COUNTIF(Will!$A$3:$A$5506, A12), Will!$A$1, )
)
</f>
        <v>ANGELA</v>
      </c>
      <c r="C12" s="12"/>
    </row>
    <row r="13" hidden="1">
      <c r="A13" s="7" t="str">
        <f>IFERROR(__xludf.DUMMYFUNCTION("""COMPUTED_VALUE"""),"Yoshiro tosashi")</f>
        <v>Yoshiro tosashi</v>
      </c>
      <c r="B13" s="35" t="str">
        <f>TEXTJOIN(", ", TRUE,
  IF(COUNTIF(Angela!$A$3:$A$5506, A13), Angela!$A$1, ),
  IF(COUNTIF(Rayreis!$A$3:$A$5506, A13), Rayreis!$A$1, ),
  IF(COUNTIF('Bruno bizarro'!$A$3:$A$5506, A13), 'Bruno bizarro'!$A$1, ),
  IF(COUNTIF(Bozsa!$A$3:$A$5506, A13), Bozsa!$A$1, ),
  IF(COUNTIF(Felipe!$A$3:$A$5506, A13), Felipe!$A$1, ),
  IF(COUNTIF(Luan!$A$3:$A$5506, A13), Luan!$A$1, ),
  IF(COUNTIF(Ray!$A$3:$A$5506, A13), Ray!$A$1, ),
  IF(COUNTIF(Raul!$A$3:$A$5506, A13), Raul!$A$1, ),
  IF(COUNTIF(Ricardo!$A$3:$A$5506, A13), Ricardo!$A$1, ),
  IF(COUNTIF(pixote!$A$3:$A$5506, A13), pixote!$A$1, ),
  IF(COUNTIF(Lucas!$A$3:$A$5506, A13), Lucas!$A$1, ),
  IF(COUNTIF(Will!$A$3:$A$5506, A13), Will!$A$1, )
)
</f>
        <v>ANGELA</v>
      </c>
      <c r="C13" s="12"/>
    </row>
    <row r="14" hidden="1">
      <c r="A14" s="7" t="str">
        <f>IFERROR(__xludf.DUMMYFUNCTION("""COMPUTED_VALUE"""),"Tim rice")</f>
        <v>Tim rice</v>
      </c>
      <c r="B14" s="35" t="str">
        <f>TEXTJOIN(", ", TRUE,
  IF(COUNTIF(Angela!$A$3:$A$5506, A14), Angela!$A$1, ),
  IF(COUNTIF(Rayreis!$A$3:$A$5506, A14), Rayreis!$A$1, ),
  IF(COUNTIF('Bruno bizarro'!$A$3:$A$5506, A14), 'Bruno bizarro'!$A$1, ),
  IF(COUNTIF(Bozsa!$A$3:$A$5506, A14), Bozsa!$A$1, ),
  IF(COUNTIF(Felipe!$A$3:$A$5506, A14), Felipe!$A$1, ),
  IF(COUNTIF(Luan!$A$3:$A$5506, A14), Luan!$A$1, ),
  IF(COUNTIF(Ray!$A$3:$A$5506, A14), Ray!$A$1, ),
  IF(COUNTIF(Raul!$A$3:$A$5506, A14), Raul!$A$1, ),
  IF(COUNTIF(Ricardo!$A$3:$A$5506, A14), Ricardo!$A$1, ),
  IF(COUNTIF(pixote!$A$3:$A$5506, A14), pixote!$A$1, ),
  IF(COUNTIF(Lucas!$A$3:$A$5506, A14), Lucas!$A$1, ),
  IF(COUNTIF(Will!$A$3:$A$5506, A14), Will!$A$1, )
)
</f>
        <v>ANGELA</v>
      </c>
      <c r="C14" s="12"/>
    </row>
    <row r="15" hidden="1">
      <c r="A15" s="7" t="str">
        <f>IFERROR(__xludf.DUMMYFUNCTION("""COMPUTED_VALUE"""),"Jose sarney")</f>
        <v>Jose sarney</v>
      </c>
      <c r="B15" s="35" t="str">
        <f>TEXTJOIN(", ", TRUE,
  IF(COUNTIF(Angela!$A$3:$A$5506, A15), Angela!$A$1, ),
  IF(COUNTIF(Rayreis!$A$3:$A$5506, A15), Rayreis!$A$1, ),
  IF(COUNTIF('Bruno bizarro'!$A$3:$A$5506, A15), 'Bruno bizarro'!$A$1, ),
  IF(COUNTIF(Bozsa!$A$3:$A$5506, A15), Bozsa!$A$1, ),
  IF(COUNTIF(Felipe!$A$3:$A$5506, A15), Felipe!$A$1, ),
  IF(COUNTIF(Luan!$A$3:$A$5506, A15), Luan!$A$1, ),
  IF(COUNTIF(Ray!$A$3:$A$5506, A15), Ray!$A$1, ),
  IF(COUNTIF(Raul!$A$3:$A$5506, A15), Raul!$A$1, ),
  IF(COUNTIF(Ricardo!$A$3:$A$5506, A15), Ricardo!$A$1, ),
  IF(COUNTIF(pixote!$A$3:$A$5506, A15), pixote!$A$1, ),
  IF(COUNTIF(Lucas!$A$3:$A$5506, A15), Lucas!$A$1, ),
  IF(COUNTIF(Will!$A$3:$A$5506, A15), Will!$A$1, )
)
</f>
        <v>ANGELA</v>
      </c>
      <c r="C15" s="12"/>
    </row>
    <row r="16" hidden="1">
      <c r="A16" s="7" t="str">
        <f>IFERROR(__xludf.DUMMYFUNCTION("""COMPUTED_VALUE"""),"Luiza erudina")</f>
        <v>Luiza erudina</v>
      </c>
      <c r="B16" s="35" t="str">
        <f>TEXTJOIN(", ", TRUE,
  IF(COUNTIF(Angela!$A$3:$A$5506, A16), Angela!$A$1, ),
  IF(COUNTIF(Rayreis!$A$3:$A$5506, A16), Rayreis!$A$1, ),
  IF(COUNTIF('Bruno bizarro'!$A$3:$A$5506, A16), 'Bruno bizarro'!$A$1, ),
  IF(COUNTIF(Bozsa!$A$3:$A$5506, A16), Bozsa!$A$1, ),
  IF(COUNTIF(Felipe!$A$3:$A$5506, A16), Felipe!$A$1, ),
  IF(COUNTIF(Luan!$A$3:$A$5506, A16), Luan!$A$1, ),
  IF(COUNTIF(Ray!$A$3:$A$5506, A16), Ray!$A$1, ),
  IF(COUNTIF(Raul!$A$3:$A$5506, A16), Raul!$A$1, ),
  IF(COUNTIF(Ricardo!$A$3:$A$5506, A16), Ricardo!$A$1, ),
  IF(COUNTIF(pixote!$A$3:$A$5506, A16), pixote!$A$1, ),
  IF(COUNTIF(Lucas!$A$3:$A$5506, A16), Lucas!$A$1, ),
  IF(COUNTIF(Will!$A$3:$A$5506, A16), Will!$A$1, )
)
</f>
        <v>ANGELA</v>
      </c>
      <c r="C16" s="7"/>
    </row>
    <row r="17">
      <c r="A17" s="7" t="str">
        <f>IFERROR(__xludf.DUMMYFUNCTION("""COMPUTED_VALUE"""),"Jose mujica")</f>
        <v>Jose mujica</v>
      </c>
      <c r="B17" s="34" t="str">
        <f>TEXTJOIN(", ", TRUE,
  IF(COUNTIF(Angela!$A$3:$A$5506, A17), Angela!$A$1, ),
  IF(COUNTIF(Rayreis!$A$3:$A$5506, A17), Rayreis!$A$1, ),
  IF(COUNTIF('Bruno bizarro'!$A$3:$A$5506, A17), 'Bruno bizarro'!$A$1, ),
  IF(COUNTIF(Bozsa!$A$3:$A$5506, A17), Bozsa!$A$1, ),
  IF(COUNTIF(Felipe!$A$3:$A$5506, A17), Felipe!$A$1, ),
  IF(COUNTIF(Luan!$A$3:$A$5506, A17), Luan!$A$1, ),
  IF(COUNTIF(Ray!$A$3:$A$5506, A17), Ray!$A$1, ),
  IF(COUNTIF(Raul!$A$3:$A$5506, A17), Raul!$A$1, ),
  IF(COUNTIF(Ricardo!$A$3:$A$5506, A17), Ricardo!$A$1, ),
  IF(COUNTIF(pixote!$A$3:$A$5506, A17), pixote!$A$1, ),
  IF(COUNTIF(Lucas!$A$3:$A$5506, A17), Lucas!$A$1, ),
  IF(COUNTIF(Will!$A$3:$A$5506, A17), Will!$A$1, )
)
</f>
        <v>ANGELA, RAUL (ex-Coveiro) , Ricardo (Coveiro)</v>
      </c>
      <c r="C17" s="12" t="s">
        <v>283</v>
      </c>
    </row>
    <row r="18" hidden="1">
      <c r="A18" s="7" t="str">
        <f>IFERROR(__xludf.DUMMYFUNCTION("""COMPUTED_VALUE"""),"Cho seungyoun")</f>
        <v>Cho seungyoun</v>
      </c>
      <c r="B18" s="35" t="str">
        <f>TEXTJOIN(", ", TRUE,
  IF(COUNTIF(Angela!$A$3:$A$5506, A18), Angela!$A$1, ),
  IF(COUNTIF(Rayreis!$A$3:$A$5506, A18), Rayreis!$A$1, ),
  IF(COUNTIF('Bruno bizarro'!$A$3:$A$5506, A18), 'Bruno bizarro'!$A$1, ),
  IF(COUNTIF(Bozsa!$A$3:$A$5506, A18), Bozsa!$A$1, ),
  IF(COUNTIF(Felipe!$A$3:$A$5506, A18), Felipe!$A$1, ),
  IF(COUNTIF(Luan!$A$3:$A$5506, A18), Luan!$A$1, ),
  IF(COUNTIF(Ray!$A$3:$A$5506, A18), Ray!$A$1, ),
  IF(COUNTIF(Raul!$A$3:$A$5506, A18), Raul!$A$1, ),
  IF(COUNTIF(Ricardo!$A$3:$A$5506, A18), Ricardo!$A$1, ),
  IF(COUNTIF(pixote!$A$3:$A$5506, A18), pixote!$A$1, ),
  IF(COUNTIF(Lucas!$A$3:$A$5506, A18), Lucas!$A$1, ),
  IF(COUNTIF(Will!$A$3:$A$5506, A18), Will!$A$1, )
)
</f>
        <v>ANGELA</v>
      </c>
      <c r="C18" s="7"/>
    </row>
    <row r="19" hidden="1">
      <c r="A19" s="7" t="str">
        <f>IFERROR(__xludf.DUMMYFUNCTION("""COMPUTED_VALUE"""),"Phil collins")</f>
        <v>Phil collins</v>
      </c>
      <c r="B19" s="35" t="str">
        <f>TEXTJOIN(", ", TRUE,
  IF(COUNTIF(Angela!$A$3:$A$5506, A19), Angela!$A$1, ),
  IF(COUNTIF(Rayreis!$A$3:$A$5506, A19), Rayreis!$A$1, ),
  IF(COUNTIF('Bruno bizarro'!$A$3:$A$5506, A19), 'Bruno bizarro'!$A$1, ),
  IF(COUNTIF(Bozsa!$A$3:$A$5506, A19), Bozsa!$A$1, ),
  IF(COUNTIF(Felipe!$A$3:$A$5506, A19), Felipe!$A$1, ),
  IF(COUNTIF(Luan!$A$3:$A$5506, A19), Luan!$A$1, ),
  IF(COUNTIF(Ray!$A$3:$A$5506, A19), Ray!$A$1, ),
  IF(COUNTIF(Raul!$A$3:$A$5506, A19), Raul!$A$1, ),
  IF(COUNTIF(Ricardo!$A$3:$A$5506, A19), Ricardo!$A$1, ),
  IF(COUNTIF(pixote!$A$3:$A$5506, A19), pixote!$A$1, ),
  IF(COUNTIF(Lucas!$A$3:$A$5506, A19), Lucas!$A$1, ),
  IF(COUNTIF(Will!$A$3:$A$5506, A19), Will!$A$1, )
)
</f>
        <v>ANGELA</v>
      </c>
      <c r="C19" s="7"/>
    </row>
    <row r="20" hidden="1">
      <c r="A20" s="7" t="str">
        <f>IFERROR(__xludf.DUMMYFUNCTION("""COMPUTED_VALUE"""),"Yoko ono")</f>
        <v>Yoko ono</v>
      </c>
      <c r="B20" s="35" t="str">
        <f>TEXTJOIN(", ", TRUE,
  IF(COUNTIF(Angela!$A$3:$A$5506, A20), Angela!$A$1, ),
  IF(COUNTIF(Rayreis!$A$3:$A$5506, A20), Rayreis!$A$1, ),
  IF(COUNTIF('Bruno bizarro'!$A$3:$A$5506, A20), 'Bruno bizarro'!$A$1, ),
  IF(COUNTIF(Bozsa!$A$3:$A$5506, A20), Bozsa!$A$1, ),
  IF(COUNTIF(Felipe!$A$3:$A$5506, A20), Felipe!$A$1, ),
  IF(COUNTIF(Luan!$A$3:$A$5506, A20), Luan!$A$1, ),
  IF(COUNTIF(Ray!$A$3:$A$5506, A20), Ray!$A$1, ),
  IF(COUNTIF(Raul!$A$3:$A$5506, A20), Raul!$A$1, ),
  IF(COUNTIF(Ricardo!$A$3:$A$5506, A20), Ricardo!$A$1, ),
  IF(COUNTIF(pixote!$A$3:$A$5506, A20), pixote!$A$1, ),
  IF(COUNTIF(Lucas!$A$3:$A$5506, A20), Lucas!$A$1, ),
  IF(COUNTIF(Will!$A$3:$A$5506, A20), Will!$A$1, )
)
</f>
        <v>ANGELA</v>
      </c>
      <c r="C20" s="7"/>
    </row>
    <row r="21" hidden="1">
      <c r="A21" s="7" t="str">
        <f>IFERROR(__xludf.DUMMYFUNCTION("""COMPUTED_VALUE"""),"Mauricio de souza")</f>
        <v>Mauricio de souza</v>
      </c>
      <c r="B21" s="35" t="str">
        <f>TEXTJOIN(", ", TRUE,
  IF(COUNTIF(Angela!$A$3:$A$5506, A21), Angela!$A$1, ),
  IF(COUNTIF(Rayreis!$A$3:$A$5506, A21), Rayreis!$A$1, ),
  IF(COUNTIF('Bruno bizarro'!$A$3:$A$5506, A21), 'Bruno bizarro'!$A$1, ),
  IF(COUNTIF(Bozsa!$A$3:$A$5506, A21), Bozsa!$A$1, ),
  IF(COUNTIF(Felipe!$A$3:$A$5506, A21), Felipe!$A$1, ),
  IF(COUNTIF(Luan!$A$3:$A$5506, A21), Luan!$A$1, ),
  IF(COUNTIF(Ray!$A$3:$A$5506, A21), Ray!$A$1, ),
  IF(COUNTIF(Raul!$A$3:$A$5506, A21), Raul!$A$1, ),
  IF(COUNTIF(Ricardo!$A$3:$A$5506, A21), Ricardo!$A$1, ),
  IF(COUNTIF(pixote!$A$3:$A$5506, A21), pixote!$A$1, ),
  IF(COUNTIF(Lucas!$A$3:$A$5506, A21), Lucas!$A$1, ),
  IF(COUNTIF(Will!$A$3:$A$5506, A21), Will!$A$1, )
)
</f>
        <v>ANGELA</v>
      </c>
      <c r="C21" s="7"/>
    </row>
    <row r="22" hidden="1">
      <c r="A22" s="7" t="str">
        <f>IFERROR(__xludf.DUMMYFUNCTION("""COMPUTED_VALUE"""),"Raul gil")</f>
        <v>Raul gil</v>
      </c>
      <c r="B22" s="35" t="str">
        <f>TEXTJOIN(", ", TRUE,
  IF(COUNTIF(Angela!$A$3:$A$5506, A22), Angela!$A$1, ),
  IF(COUNTIF(Rayreis!$A$3:$A$5506, A22), Rayreis!$A$1, ),
  IF(COUNTIF('Bruno bizarro'!$A$3:$A$5506, A22), 'Bruno bizarro'!$A$1, ),
  IF(COUNTIF(Bozsa!$A$3:$A$5506, A22), Bozsa!$A$1, ),
  IF(COUNTIF(Felipe!$A$3:$A$5506, A22), Felipe!$A$1, ),
  IF(COUNTIF(Luan!$A$3:$A$5506, A22), Luan!$A$1, ),
  IF(COUNTIF(Ray!$A$3:$A$5506, A22), Ray!$A$1, ),
  IF(COUNTIF(Raul!$A$3:$A$5506, A22), Raul!$A$1, ),
  IF(COUNTIF(Ricardo!$A$3:$A$5506, A22), Ricardo!$A$1, ),
  IF(COUNTIF(pixote!$A$3:$A$5506, A22), pixote!$A$1, ),
  IF(COUNTIF(Lucas!$A$3:$A$5506, A22), Lucas!$A$1, ),
  IF(COUNTIF(Will!$A$3:$A$5506, A22), Will!$A$1, )
)
</f>
        <v>Ray satanista, RAUL (ex-Coveiro) , Pixote, WILL</v>
      </c>
      <c r="C22" s="7"/>
    </row>
    <row r="23" hidden="1">
      <c r="A23" s="7" t="str">
        <f>IFERROR(__xludf.DUMMYFUNCTION("""COMPUTED_VALUE"""),"Lula")</f>
        <v>Lula</v>
      </c>
      <c r="B23" s="35" t="str">
        <f>TEXTJOIN(", ", TRUE,
  IF(COUNTIF(Angela!$A$3:$A$5506, A23), Angela!$A$1, ),
  IF(COUNTIF(Rayreis!$A$3:$A$5506, A23), Rayreis!$A$1, ),
  IF(COUNTIF('Bruno bizarro'!$A$3:$A$5506, A23), 'Bruno bizarro'!$A$1, ),
  IF(COUNTIF(Bozsa!$A$3:$A$5506, A23), Bozsa!$A$1, ),
  IF(COUNTIF(Felipe!$A$3:$A$5506, A23), Felipe!$A$1, ),
  IF(COUNTIF(Luan!$A$3:$A$5506, A23), Luan!$A$1, ),
  IF(COUNTIF(Ray!$A$3:$A$5506, A23), Ray!$A$1, ),
  IF(COUNTIF(Raul!$A$3:$A$5506, A23), Raul!$A$1, ),
  IF(COUNTIF(Ricardo!$A$3:$A$5506, A23), Ricardo!$A$1, ),
  IF(COUNTIF(pixote!$A$3:$A$5506, A23), pixote!$A$1, ),
  IF(COUNTIF(Lucas!$A$3:$A$5506, A23), Lucas!$A$1, ),
  IF(COUNTIF(Will!$A$3:$A$5506, A23), Will!$A$1, )
)
</f>
        <v>Ray satanista, Bruno bizarro (letra ruim), Felipe, Luan viado, Pixote</v>
      </c>
      <c r="C23" s="7"/>
    </row>
    <row r="24" hidden="1">
      <c r="A24" s="7" t="str">
        <f>IFERROR(__xludf.DUMMYFUNCTION("""COMPUTED_VALUE"""),"Gloria menezes")</f>
        <v>Gloria menezes</v>
      </c>
      <c r="B24" s="35" t="str">
        <f>TEXTJOIN(", ", TRUE,
  IF(COUNTIF(Angela!$A$3:$A$5506, A24), Angela!$A$1, ),
  IF(COUNTIF(Rayreis!$A$3:$A$5506, A24), Rayreis!$A$1, ),
  IF(COUNTIF('Bruno bizarro'!$A$3:$A$5506, A24), 'Bruno bizarro'!$A$1, ),
  IF(COUNTIF(Bozsa!$A$3:$A$5506, A24), Bozsa!$A$1, ),
  IF(COUNTIF(Felipe!$A$3:$A$5506, A24), Felipe!$A$1, ),
  IF(COUNTIF(Luan!$A$3:$A$5506, A24), Luan!$A$1, ),
  IF(COUNTIF(Ray!$A$3:$A$5506, A24), Ray!$A$1, ),
  IF(COUNTIF(Raul!$A$3:$A$5506, A24), Raul!$A$1, ),
  IF(COUNTIF(Ricardo!$A$3:$A$5506, A24), Ricardo!$A$1, ),
  IF(COUNTIF(pixote!$A$3:$A$5506, A24), pixote!$A$1, ),
  IF(COUNTIF(Lucas!$A$3:$A$5506, A24), Lucas!$A$1, ),
  IF(COUNTIF(Will!$A$3:$A$5506, A24), Will!$A$1, )
)
</f>
        <v>Ray satanista, BOZSA, RAY, WILL</v>
      </c>
      <c r="C24" s="7"/>
    </row>
    <row r="25" hidden="1">
      <c r="A25" s="7" t="str">
        <f>IFERROR(__xludf.DUMMYFUNCTION("""COMPUTED_VALUE"""),"tony rmos")</f>
        <v>tony rmos</v>
      </c>
      <c r="B25" s="35" t="str">
        <f>TEXTJOIN(", ", TRUE,
  IF(COUNTIF(Angela!$A$3:$A$5506, A25), Angela!$A$1, ),
  IF(COUNTIF(Rayreis!$A$3:$A$5506, A25), Rayreis!$A$1, ),
  IF(COUNTIF('Bruno bizarro'!$A$3:$A$5506, A25), 'Bruno bizarro'!$A$1, ),
  IF(COUNTIF(Bozsa!$A$3:$A$5506, A25), Bozsa!$A$1, ),
  IF(COUNTIF(Felipe!$A$3:$A$5506, A25), Felipe!$A$1, ),
  IF(COUNTIF(Luan!$A$3:$A$5506, A25), Luan!$A$1, ),
  IF(COUNTIF(Ray!$A$3:$A$5506, A25), Ray!$A$1, ),
  IF(COUNTIF(Raul!$A$3:$A$5506, A25), Raul!$A$1, ),
  IF(COUNTIF(Ricardo!$A$3:$A$5506, A25), Ricardo!$A$1, ),
  IF(COUNTIF(pixote!$A$3:$A$5506, A25), pixote!$A$1, ),
  IF(COUNTIF(Lucas!$A$3:$A$5506, A25), Lucas!$A$1, ),
  IF(COUNTIF(Will!$A$3:$A$5506, A25), Will!$A$1, )
)
</f>
        <v>Ray satanista</v>
      </c>
      <c r="C25" s="7"/>
    </row>
    <row r="26" hidden="1">
      <c r="A26" s="7" t="str">
        <f>IFERROR(__xludf.DUMMYFUNCTION("""COMPUTED_VALUE"""),"lima duarte")</f>
        <v>lima duarte</v>
      </c>
      <c r="B26" s="35" t="str">
        <f>TEXTJOIN(", ", TRUE,
  IF(COUNTIF(Angela!$A$3:$A$5506, A26), Angela!$A$1, ),
  IF(COUNTIF(Rayreis!$A$3:$A$5506, A26), Rayreis!$A$1, ),
  IF(COUNTIF('Bruno bizarro'!$A$3:$A$5506, A26), 'Bruno bizarro'!$A$1, ),
  IF(COUNTIF(Bozsa!$A$3:$A$5506, A26), Bozsa!$A$1, ),
  IF(COUNTIF(Felipe!$A$3:$A$5506, A26), Felipe!$A$1, ),
  IF(COUNTIF(Luan!$A$3:$A$5506, A26), Luan!$A$1, ),
  IF(COUNTIF(Ray!$A$3:$A$5506, A26), Ray!$A$1, ),
  IF(COUNTIF(Raul!$A$3:$A$5506, A26), Raul!$A$1, ),
  IF(COUNTIF(Ricardo!$A$3:$A$5506, A26), Ricardo!$A$1, ),
  IF(COUNTIF(pixote!$A$3:$A$5506, A26), pixote!$A$1, ),
  IF(COUNTIF(Lucas!$A$3:$A$5506, A26), Lucas!$A$1, ),
  IF(COUNTIF(Will!$A$3:$A$5506, A26), Will!$A$1, )
)
</f>
        <v>Ray satanista, BOZSA, Felipe, Luan viado, RAY, RAUL (ex-Coveiro) , Ricardo (Coveiro), Pixote, WILL</v>
      </c>
      <c r="C26" s="7"/>
    </row>
    <row r="27" hidden="1">
      <c r="A27" s="7" t="str">
        <f>IFERROR(__xludf.DUMMYFUNCTION("""COMPUTED_VALUE"""),"moon taeil")</f>
        <v>moon taeil</v>
      </c>
      <c r="B27" s="35" t="str">
        <f>TEXTJOIN(", ", TRUE,
  IF(COUNTIF(Angela!$A$3:$A$5506, A27), Angela!$A$1, ),
  IF(COUNTIF(Rayreis!$A$3:$A$5506, A27), Rayreis!$A$1, ),
  IF(COUNTIF('Bruno bizarro'!$A$3:$A$5506, A27), 'Bruno bizarro'!$A$1, ),
  IF(COUNTIF(Bozsa!$A$3:$A$5506, A27), Bozsa!$A$1, ),
  IF(COUNTIF(Felipe!$A$3:$A$5506, A27), Felipe!$A$1, ),
  IF(COUNTIF(Luan!$A$3:$A$5506, A27), Luan!$A$1, ),
  IF(COUNTIF(Ray!$A$3:$A$5506, A27), Ray!$A$1, ),
  IF(COUNTIF(Raul!$A$3:$A$5506, A27), Raul!$A$1, ),
  IF(COUNTIF(Ricardo!$A$3:$A$5506, A27), Ricardo!$A$1, ),
  IF(COUNTIF(pixote!$A$3:$A$5506, A27), pixote!$A$1, ),
  IF(COUNTIF(Lucas!$A$3:$A$5506, A27), Lucas!$A$1, ),
  IF(COUNTIF(Will!$A$3:$A$5506, A27), Will!$A$1, )
)
</f>
        <v>Ray satanista</v>
      </c>
      <c r="C27" s="7"/>
    </row>
    <row r="28" hidden="1">
      <c r="A28" s="7" t="str">
        <f>IFERROR(__xludf.DUMMYFUNCTION("""COMPUTED_VALUE"""),"P diddy")</f>
        <v>P diddy</v>
      </c>
      <c r="B28" s="35" t="str">
        <f>TEXTJOIN(", ", TRUE,
  IF(COUNTIF(Angela!$A$3:$A$5506, A28), Angela!$A$1, ),
  IF(COUNTIF(Rayreis!$A$3:$A$5506, A28), Rayreis!$A$1, ),
  IF(COUNTIF('Bruno bizarro'!$A$3:$A$5506, A28), 'Bruno bizarro'!$A$1, ),
  IF(COUNTIF(Bozsa!$A$3:$A$5506, A28), Bozsa!$A$1, ),
  IF(COUNTIF(Felipe!$A$3:$A$5506, A28), Felipe!$A$1, ),
  IF(COUNTIF(Luan!$A$3:$A$5506, A28), Luan!$A$1, ),
  IF(COUNTIF(Ray!$A$3:$A$5506, A28), Ray!$A$1, ),
  IF(COUNTIF(Raul!$A$3:$A$5506, A28), Raul!$A$1, ),
  IF(COUNTIF(Ricardo!$A$3:$A$5506, A28), Ricardo!$A$1, ),
  IF(COUNTIF(pixote!$A$3:$A$5506, A28), pixote!$A$1, ),
  IF(COUNTIF(Lucas!$A$3:$A$5506, A28), Lucas!$A$1, ),
  IF(COUNTIF(Will!$A$3:$A$5506, A28), Will!$A$1, )
)
</f>
        <v>Ray satanista, Lucas aleatório</v>
      </c>
      <c r="C28" s="7"/>
    </row>
    <row r="29" hidden="1">
      <c r="A29" s="7" t="str">
        <f>IFERROR(__xludf.DUMMYFUNCTION("""COMPUTED_VALUE"""),"JK rowling")</f>
        <v>JK rowling</v>
      </c>
      <c r="B29" s="35" t="str">
        <f>TEXTJOIN(", ", TRUE,
  IF(COUNTIF(Angela!$A$3:$A$5506, A29), Angela!$A$1, ),
  IF(COUNTIF(Rayreis!$A$3:$A$5506, A29), Rayreis!$A$1, ),
  IF(COUNTIF('Bruno bizarro'!$A$3:$A$5506, A29), 'Bruno bizarro'!$A$1, ),
  IF(COUNTIF(Bozsa!$A$3:$A$5506, A29), Bozsa!$A$1, ),
  IF(COUNTIF(Felipe!$A$3:$A$5506, A29), Felipe!$A$1, ),
  IF(COUNTIF(Luan!$A$3:$A$5506, A29), Luan!$A$1, ),
  IF(COUNTIF(Ray!$A$3:$A$5506, A29), Ray!$A$1, ),
  IF(COUNTIF(Raul!$A$3:$A$5506, A29), Raul!$A$1, ),
  IF(COUNTIF(Ricardo!$A$3:$A$5506, A29), Ricardo!$A$1, ),
  IF(COUNTIF(pixote!$A$3:$A$5506, A29), pixote!$A$1, ),
  IF(COUNTIF(Lucas!$A$3:$A$5506, A29), Lucas!$A$1, ),
  IF(COUNTIF(Will!$A$3:$A$5506, A29), Will!$A$1, )
)
</f>
        <v>Ray satanista</v>
      </c>
      <c r="C29" s="7"/>
    </row>
    <row r="30" hidden="1">
      <c r="A30" s="7" t="str">
        <f>IFERROR(__xludf.DUMMYFUNCTION("""COMPUTED_VALUE"""),"jim carrey")</f>
        <v>jim carrey</v>
      </c>
      <c r="B30" s="35" t="str">
        <f>TEXTJOIN(", ", TRUE,
  IF(COUNTIF(Angela!$A$3:$A$5506, A30), Angela!$A$1, ),
  IF(COUNTIF(Rayreis!$A$3:$A$5506, A30), Rayreis!$A$1, ),
  IF(COUNTIF('Bruno bizarro'!$A$3:$A$5506, A30), 'Bruno bizarro'!$A$1, ),
  IF(COUNTIF(Bozsa!$A$3:$A$5506, A30), Bozsa!$A$1, ),
  IF(COUNTIF(Felipe!$A$3:$A$5506, A30), Felipe!$A$1, ),
  IF(COUNTIF(Luan!$A$3:$A$5506, A30), Luan!$A$1, ),
  IF(COUNTIF(Ray!$A$3:$A$5506, A30), Ray!$A$1, ),
  IF(COUNTIF(Raul!$A$3:$A$5506, A30), Raul!$A$1, ),
  IF(COUNTIF(Ricardo!$A$3:$A$5506, A30), Ricardo!$A$1, ),
  IF(COUNTIF(pixote!$A$3:$A$5506, A30), pixote!$A$1, ),
  IF(COUNTIF(Lucas!$A$3:$A$5506, A30), Lucas!$A$1, ),
  IF(COUNTIF(Will!$A$3:$A$5506, A30), Will!$A$1, )
)
</f>
        <v>Ray satanista</v>
      </c>
      <c r="C30" s="7"/>
    </row>
    <row r="31" hidden="1">
      <c r="A31" s="7" t="str">
        <f>IFERROR(__xludf.DUMMYFUNCTION("""COMPUTED_VALUE"""),"faustão")</f>
        <v>faustão</v>
      </c>
      <c r="B31" s="35" t="str">
        <f>TEXTJOIN(", ", TRUE,
  IF(COUNTIF(Angela!$A$3:$A$5506, A31), Angela!$A$1, ),
  IF(COUNTIF(Rayreis!$A$3:$A$5506, A31), Rayreis!$A$1, ),
  IF(COUNTIF('Bruno bizarro'!$A$3:$A$5506, A31), 'Bruno bizarro'!$A$1, ),
  IF(COUNTIF(Bozsa!$A$3:$A$5506, A31), Bozsa!$A$1, ),
  IF(COUNTIF(Felipe!$A$3:$A$5506, A31), Felipe!$A$1, ),
  IF(COUNTIF(Luan!$A$3:$A$5506, A31), Luan!$A$1, ),
  IF(COUNTIF(Ray!$A$3:$A$5506, A31), Ray!$A$1, ),
  IF(COUNTIF(Raul!$A$3:$A$5506, A31), Raul!$A$1, ),
  IF(COUNTIF(Ricardo!$A$3:$A$5506, A31), Ricardo!$A$1, ),
  IF(COUNTIF(pixote!$A$3:$A$5506, A31), pixote!$A$1, ),
  IF(COUNTIF(Lucas!$A$3:$A$5506, A31), Lucas!$A$1, ),
  IF(COUNTIF(Will!$A$3:$A$5506, A31), Will!$A$1, )
)
</f>
        <v>Ray satanista, RAUL (ex-Coveiro) , Ricardo (Coveiro), Pixote</v>
      </c>
      <c r="C31" s="7"/>
    </row>
    <row r="32" hidden="1">
      <c r="A32" s="7" t="str">
        <f>IFERROR(__xludf.DUMMYFUNCTION("""COMPUTED_VALUE"""),"didi")</f>
        <v>didi</v>
      </c>
      <c r="B32" s="35" t="str">
        <f>TEXTJOIN(", ", TRUE,
  IF(COUNTIF(Angela!$A$3:$A$5506, A32), Angela!$A$1, ),
  IF(COUNTIF(Rayreis!$A$3:$A$5506, A32), Rayreis!$A$1, ),
  IF(COUNTIF('Bruno bizarro'!$A$3:$A$5506, A32), 'Bruno bizarro'!$A$1, ),
  IF(COUNTIF(Bozsa!$A$3:$A$5506, A32), Bozsa!$A$1, ),
  IF(COUNTIF(Felipe!$A$3:$A$5506, A32), Felipe!$A$1, ),
  IF(COUNTIF(Luan!$A$3:$A$5506, A32), Luan!$A$1, ),
  IF(COUNTIF(Ray!$A$3:$A$5506, A32), Ray!$A$1, ),
  IF(COUNTIF(Raul!$A$3:$A$5506, A32), Raul!$A$1, ),
  IF(COUNTIF(Ricardo!$A$3:$A$5506, A32), Ricardo!$A$1, ),
  IF(COUNTIF(pixote!$A$3:$A$5506, A32), pixote!$A$1, ),
  IF(COUNTIF(Lucas!$A$3:$A$5506, A32), Lucas!$A$1, ),
  IF(COUNTIF(Will!$A$3:$A$5506, A32), Will!$A$1, )
)
</f>
        <v>Ray satanista, RAUL (ex-Coveiro) </v>
      </c>
      <c r="C32" s="7"/>
    </row>
    <row r="33" hidden="1">
      <c r="A33" s="7" t="str">
        <f>IFERROR(__xludf.DUMMYFUNCTION("""COMPUTED_VALUE"""),"neil gayman")</f>
        <v>neil gayman</v>
      </c>
      <c r="B33" s="35" t="str">
        <f>TEXTJOIN(", ", TRUE,
  IF(COUNTIF(Angela!$A$3:$A$5506, A33), Angela!$A$1, ),
  IF(COUNTIF(Rayreis!$A$3:$A$5506, A33), Rayreis!$A$1, ),
  IF(COUNTIF('Bruno bizarro'!$A$3:$A$5506, A33), 'Bruno bizarro'!$A$1, ),
  IF(COUNTIF(Bozsa!$A$3:$A$5506, A33), Bozsa!$A$1, ),
  IF(COUNTIF(Felipe!$A$3:$A$5506, A33), Felipe!$A$1, ),
  IF(COUNTIF(Luan!$A$3:$A$5506, A33), Luan!$A$1, ),
  IF(COUNTIF(Ray!$A$3:$A$5506, A33), Ray!$A$1, ),
  IF(COUNTIF(Raul!$A$3:$A$5506, A33), Raul!$A$1, ),
  IF(COUNTIF(Ricardo!$A$3:$A$5506, A33), Ricardo!$A$1, ),
  IF(COUNTIF(pixote!$A$3:$A$5506, A33), pixote!$A$1, ),
  IF(COUNTIF(Lucas!$A$3:$A$5506, A33), Lucas!$A$1, ),
  IF(COUNTIF(Will!$A$3:$A$5506, A33), Will!$A$1, )
)
</f>
        <v>Ray satanista</v>
      </c>
      <c r="C33" s="7"/>
    </row>
    <row r="34" hidden="1">
      <c r="A34" s="7" t="str">
        <f>IFERROR(__xludf.DUMMYFUNCTION("""COMPUTED_VALUE"""),"Dinho ouro preto")</f>
        <v>Dinho ouro preto</v>
      </c>
      <c r="B34" s="35" t="str">
        <f>TEXTJOIN(", ", TRUE,
  IF(COUNTIF(Angela!$A$3:$A$5506, A34), Angela!$A$1, ),
  IF(COUNTIF(Rayreis!$A$3:$A$5506, A34), Rayreis!$A$1, ),
  IF(COUNTIF('Bruno bizarro'!$A$3:$A$5506, A34), 'Bruno bizarro'!$A$1, ),
  IF(COUNTIF(Bozsa!$A$3:$A$5506, A34), Bozsa!$A$1, ),
  IF(COUNTIF(Felipe!$A$3:$A$5506, A34), Felipe!$A$1, ),
  IF(COUNTIF(Luan!$A$3:$A$5506, A34), Luan!$A$1, ),
  IF(COUNTIF(Ray!$A$3:$A$5506, A34), Ray!$A$1, ),
  IF(COUNTIF(Raul!$A$3:$A$5506, A34), Raul!$A$1, ),
  IF(COUNTIF(Ricardo!$A$3:$A$5506, A34), Ricardo!$A$1, ),
  IF(COUNTIF(pixote!$A$3:$A$5506, A34), pixote!$A$1, ),
  IF(COUNTIF(Lucas!$A$3:$A$5506, A34), Lucas!$A$1, ),
  IF(COUNTIF(Will!$A$3:$A$5506, A34), Will!$A$1, )
)
</f>
        <v>Ray satanista</v>
      </c>
      <c r="C34" s="7"/>
    </row>
    <row r="35" hidden="1">
      <c r="A35" s="7" t="str">
        <f>IFERROR(__xludf.DUMMYFUNCTION("""COMPUTED_VALUE"""),"Andressa urach")</f>
        <v>Andressa urach</v>
      </c>
      <c r="B35" s="35" t="str">
        <f>TEXTJOIN(", ", TRUE,
  IF(COUNTIF(Angela!$A$3:$A$5506, A35), Angela!$A$1, ),
  IF(COUNTIF(Rayreis!$A$3:$A$5506, A35), Rayreis!$A$1, ),
  IF(COUNTIF('Bruno bizarro'!$A$3:$A$5506, A35), 'Bruno bizarro'!$A$1, ),
  IF(COUNTIF(Bozsa!$A$3:$A$5506, A35), Bozsa!$A$1, ),
  IF(COUNTIF(Felipe!$A$3:$A$5506, A35), Felipe!$A$1, ),
  IF(COUNTIF(Luan!$A$3:$A$5506, A35), Luan!$A$1, ),
  IF(COUNTIF(Ray!$A$3:$A$5506, A35), Ray!$A$1, ),
  IF(COUNTIF(Raul!$A$3:$A$5506, A35), Raul!$A$1, ),
  IF(COUNTIF(Ricardo!$A$3:$A$5506, A35), Ricardo!$A$1, ),
  IF(COUNTIF(pixote!$A$3:$A$5506, A35), pixote!$A$1, ),
  IF(COUNTIF(Lucas!$A$3:$A$5506, A35), Lucas!$A$1, ),
  IF(COUNTIF(Will!$A$3:$A$5506, A35), Will!$A$1, )
)
</f>
        <v>Ray satanista, WILL</v>
      </c>
      <c r="C35" s="7"/>
    </row>
    <row r="36" hidden="1">
      <c r="A36" s="7" t="str">
        <f>IFERROR(__xludf.DUMMYFUNCTION("""COMPUTED_VALUE"""),"Yoon suk yeel")</f>
        <v>Yoon suk yeel</v>
      </c>
      <c r="B36" s="35" t="str">
        <f>TEXTJOIN(", ", TRUE,
  IF(COUNTIF(Angela!$A$3:$A$5506, A36), Angela!$A$1, ),
  IF(COUNTIF(Rayreis!$A$3:$A$5506, A36), Rayreis!$A$1, ),
  IF(COUNTIF('Bruno bizarro'!$A$3:$A$5506, A36), 'Bruno bizarro'!$A$1, ),
  IF(COUNTIF(Bozsa!$A$3:$A$5506, A36), Bozsa!$A$1, ),
  IF(COUNTIF(Felipe!$A$3:$A$5506, A36), Felipe!$A$1, ),
  IF(COUNTIF(Luan!$A$3:$A$5506, A36), Luan!$A$1, ),
  IF(COUNTIF(Ray!$A$3:$A$5506, A36), Ray!$A$1, ),
  IF(COUNTIF(Raul!$A$3:$A$5506, A36), Raul!$A$1, ),
  IF(COUNTIF(Ricardo!$A$3:$A$5506, A36), Ricardo!$A$1, ),
  IF(COUNTIF(pixote!$A$3:$A$5506, A36), pixote!$A$1, ),
  IF(COUNTIF(Lucas!$A$3:$A$5506, A36), Lucas!$A$1, ),
  IF(COUNTIF(Will!$A$3:$A$5506, A36), Will!$A$1, )
)
</f>
        <v>Ray satanista</v>
      </c>
      <c r="C36" s="7"/>
    </row>
    <row r="37" hidden="1">
      <c r="A37" s="7" t="str">
        <f>IFERROR(__xludf.DUMMYFUNCTION("""COMPUTED_VALUE"""),"Zizi pessi")</f>
        <v>Zizi pessi</v>
      </c>
      <c r="B37" s="35" t="str">
        <f>TEXTJOIN(", ", TRUE,
  IF(COUNTIF(Angela!$A$3:$A$5506, A37), Angela!$A$1, ),
  IF(COUNTIF(Rayreis!$A$3:$A$5506, A37), Rayreis!$A$1, ),
  IF(COUNTIF('Bruno bizarro'!$A$3:$A$5506, A37), 'Bruno bizarro'!$A$1, ),
  IF(COUNTIF(Bozsa!$A$3:$A$5506, A37), Bozsa!$A$1, ),
  IF(COUNTIF(Felipe!$A$3:$A$5506, A37), Felipe!$A$1, ),
  IF(COUNTIF(Luan!$A$3:$A$5506, A37), Luan!$A$1, ),
  IF(COUNTIF(Ray!$A$3:$A$5506, A37), Ray!$A$1, ),
  IF(COUNTIF(Raul!$A$3:$A$5506, A37), Raul!$A$1, ),
  IF(COUNTIF(Ricardo!$A$3:$A$5506, A37), Ricardo!$A$1, ),
  IF(COUNTIF(pixote!$A$3:$A$5506, A37), pixote!$A$1, ),
  IF(COUNTIF(Lucas!$A$3:$A$5506, A37), Lucas!$A$1, ),
  IF(COUNTIF(Will!$A$3:$A$5506, A37), Will!$A$1, )
)
</f>
        <v>Ray satanista</v>
      </c>
      <c r="C37" s="7"/>
    </row>
    <row r="38" hidden="1">
      <c r="A38" s="7" t="str">
        <f>IFERROR(__xludf.DUMMYFUNCTION("""COMPUTED_VALUE"""),"Joe biden")</f>
        <v>Joe biden</v>
      </c>
      <c r="B38" s="35" t="str">
        <f>TEXTJOIN(", ", TRUE,
  IF(COUNTIF(Angela!$A$3:$A$5506, A38), Angela!$A$1, ),
  IF(COUNTIF(Rayreis!$A$3:$A$5506, A38), Rayreis!$A$1, ),
  IF(COUNTIF('Bruno bizarro'!$A$3:$A$5506, A38), 'Bruno bizarro'!$A$1, ),
  IF(COUNTIF(Bozsa!$A$3:$A$5506, A38), Bozsa!$A$1, ),
  IF(COUNTIF(Felipe!$A$3:$A$5506, A38), Felipe!$A$1, ),
  IF(COUNTIF(Luan!$A$3:$A$5506, A38), Luan!$A$1, ),
  IF(COUNTIF(Ray!$A$3:$A$5506, A38), Ray!$A$1, ),
  IF(COUNTIF(Raul!$A$3:$A$5506, A38), Raul!$A$1, ),
  IF(COUNTIF(Ricardo!$A$3:$A$5506, A38), Ricardo!$A$1, ),
  IF(COUNTIF(pixote!$A$3:$A$5506, A38), pixote!$A$1, ),
  IF(COUNTIF(Lucas!$A$3:$A$5506, A38), Lucas!$A$1, ),
  IF(COUNTIF(Will!$A$3:$A$5506, A38), Will!$A$1, )
)
</f>
        <v>Ray satanista</v>
      </c>
      <c r="C38" s="7"/>
    </row>
    <row r="39" hidden="1">
      <c r="A39" s="7" t="str">
        <f>IFERROR(__xludf.DUMMYFUNCTION("""COMPUTED_VALUE"""),"leonardo cantor")</f>
        <v>leonardo cantor</v>
      </c>
      <c r="B39" s="35" t="str">
        <f>TEXTJOIN(", ", TRUE,
  IF(COUNTIF(Angela!$A$3:$A$5506, A39), Angela!$A$1, ),
  IF(COUNTIF(Rayreis!$A$3:$A$5506, A39), Rayreis!$A$1, ),
  IF(COUNTIF('Bruno bizarro'!$A$3:$A$5506, A39), 'Bruno bizarro'!$A$1, ),
  IF(COUNTIF(Bozsa!$A$3:$A$5506, A39), Bozsa!$A$1, ),
  IF(COUNTIF(Felipe!$A$3:$A$5506, A39), Felipe!$A$1, ),
  IF(COUNTIF(Luan!$A$3:$A$5506, A39), Luan!$A$1, ),
  IF(COUNTIF(Ray!$A$3:$A$5506, A39), Ray!$A$1, ),
  IF(COUNTIF(Raul!$A$3:$A$5506, A39), Raul!$A$1, ),
  IF(COUNTIF(Ricardo!$A$3:$A$5506, A39), Ricardo!$A$1, ),
  IF(COUNTIF(pixote!$A$3:$A$5506, A39), pixote!$A$1, ),
  IF(COUNTIF(Lucas!$A$3:$A$5506, A39), Lucas!$A$1, ),
  IF(COUNTIF(Will!$A$3:$A$5506, A39), Will!$A$1, )
)
</f>
        <v>Ray satanista</v>
      </c>
      <c r="C39" s="7"/>
    </row>
    <row r="40" hidden="1">
      <c r="A40" s="7" t="str">
        <f>IFERROR(__xludf.DUMMYFUNCTION("""COMPUTED_VALUE"""),"Maiaria da maraisa")</f>
        <v>Maiaria da maraisa</v>
      </c>
      <c r="B40" s="35" t="str">
        <f>TEXTJOIN(", ", TRUE,
  IF(COUNTIF(Angela!$A$3:$A$5506, A40), Angela!$A$1, ),
  IF(COUNTIF(Rayreis!$A$3:$A$5506, A40), Rayreis!$A$1, ),
  IF(COUNTIF('Bruno bizarro'!$A$3:$A$5506, A40), 'Bruno bizarro'!$A$1, ),
  IF(COUNTIF(Bozsa!$A$3:$A$5506, A40), Bozsa!$A$1, ),
  IF(COUNTIF(Felipe!$A$3:$A$5506, A40), Felipe!$A$1, ),
  IF(COUNTIF(Luan!$A$3:$A$5506, A40), Luan!$A$1, ),
  IF(COUNTIF(Ray!$A$3:$A$5506, A40), Ray!$A$1, ),
  IF(COUNTIF(Raul!$A$3:$A$5506, A40), Raul!$A$1, ),
  IF(COUNTIF(Ricardo!$A$3:$A$5506, A40), Ricardo!$A$1, ),
  IF(COUNTIF(pixote!$A$3:$A$5506, A40), pixote!$A$1, ),
  IF(COUNTIF(Lucas!$A$3:$A$5506, A40), Lucas!$A$1, ),
  IF(COUNTIF(Will!$A$3:$A$5506, A40), Will!$A$1, )
)
</f>
        <v>Ray satanista</v>
      </c>
      <c r="C40" s="7"/>
    </row>
    <row r="41" hidden="1">
      <c r="A41" s="7" t="str">
        <f>IFERROR(__xludf.DUMMYFUNCTION("""COMPUTED_VALUE"""),"lula")</f>
        <v>lula</v>
      </c>
      <c r="B41" s="35" t="str">
        <f>TEXTJOIN(", ", TRUE,
  IF(COUNTIF(Angela!$A$3:$A$5506, A41), Angela!$A$1, ),
  IF(COUNTIF(Rayreis!$A$3:$A$5506, A41), Rayreis!$A$1, ),
  IF(COUNTIF('Bruno bizarro'!$A$3:$A$5506, A41), 'Bruno bizarro'!$A$1, ),
  IF(COUNTIF(Bozsa!$A$3:$A$5506, A41), Bozsa!$A$1, ),
  IF(COUNTIF(Felipe!$A$3:$A$5506, A41), Felipe!$A$1, ),
  IF(COUNTIF(Luan!$A$3:$A$5506, A41), Luan!$A$1, ),
  IF(COUNTIF(Ray!$A$3:$A$5506, A41), Ray!$A$1, ),
  IF(COUNTIF(Raul!$A$3:$A$5506, A41), Raul!$A$1, ),
  IF(COUNTIF(Ricardo!$A$3:$A$5506, A41), Ricardo!$A$1, ),
  IF(COUNTIF(pixote!$A$3:$A$5506, A41), pixote!$A$1, ),
  IF(COUNTIF(Lucas!$A$3:$A$5506, A41), Lucas!$A$1, ),
  IF(COUNTIF(Will!$A$3:$A$5506, A41), Will!$A$1, )
)
</f>
        <v>Ray satanista, Bruno bizarro (letra ruim), Felipe, Luan viado, Pixote</v>
      </c>
      <c r="C41" s="7"/>
    </row>
    <row r="42" hidden="1">
      <c r="A42" s="7" t="str">
        <f>IFERROR(__xludf.DUMMYFUNCTION("""COMPUTED_VALUE"""),"bruce willis")</f>
        <v>bruce willis</v>
      </c>
      <c r="B42" s="35" t="str">
        <f>TEXTJOIN(", ", TRUE,
  IF(COUNTIF(Angela!$A$3:$A$5506, A42), Angela!$A$1, ),
  IF(COUNTIF(Rayreis!$A$3:$A$5506, A42), Rayreis!$A$1, ),
  IF(COUNTIF('Bruno bizarro'!$A$3:$A$5506, A42), 'Bruno bizarro'!$A$1, ),
  IF(COUNTIF(Bozsa!$A$3:$A$5506, A42), Bozsa!$A$1, ),
  IF(COUNTIF(Felipe!$A$3:$A$5506, A42), Felipe!$A$1, ),
  IF(COUNTIF(Luan!$A$3:$A$5506, A42), Luan!$A$1, ),
  IF(COUNTIF(Ray!$A$3:$A$5506, A42), Ray!$A$1, ),
  IF(COUNTIF(Raul!$A$3:$A$5506, A42), Raul!$A$1, ),
  IF(COUNTIF(Ricardo!$A$3:$A$5506, A42), Ricardo!$A$1, ),
  IF(COUNTIF(pixote!$A$3:$A$5506, A42), pixote!$A$1, ),
  IF(COUNTIF(Lucas!$A$3:$A$5506, A42), Lucas!$A$1, ),
  IF(COUNTIF(Will!$A$3:$A$5506, A42), Will!$A$1, )
)
</f>
        <v>Bruno bizarro (letra ruim), RAUL (ex-Coveiro) , Pixote</v>
      </c>
      <c r="C42" s="7"/>
    </row>
    <row r="43" hidden="1">
      <c r="A43" s="7" t="str">
        <f>IFERROR(__xludf.DUMMYFUNCTION("""COMPUTED_VALUE"""),"fernanda montenegro")</f>
        <v>fernanda montenegro</v>
      </c>
      <c r="B43" s="35" t="str">
        <f>TEXTJOIN(", ", TRUE,
  IF(COUNTIF(Angela!$A$3:$A$5506, A43), Angela!$A$1, ),
  IF(COUNTIF(Rayreis!$A$3:$A$5506, A43), Rayreis!$A$1, ),
  IF(COUNTIF('Bruno bizarro'!$A$3:$A$5506, A43), 'Bruno bizarro'!$A$1, ),
  IF(COUNTIF(Bozsa!$A$3:$A$5506, A43), Bozsa!$A$1, ),
  IF(COUNTIF(Felipe!$A$3:$A$5506, A43), Felipe!$A$1, ),
  IF(COUNTIF(Luan!$A$3:$A$5506, A43), Luan!$A$1, ),
  IF(COUNTIF(Ray!$A$3:$A$5506, A43), Ray!$A$1, ),
  IF(COUNTIF(Raul!$A$3:$A$5506, A43), Raul!$A$1, ),
  IF(COUNTIF(Ricardo!$A$3:$A$5506, A43), Ricardo!$A$1, ),
  IF(COUNTIF(pixote!$A$3:$A$5506, A43), pixote!$A$1, ),
  IF(COUNTIF(Lucas!$A$3:$A$5506, A43), Lucas!$A$1, ),
  IF(COUNTIF(Will!$A$3:$A$5506, A43), Will!$A$1, )
)
</f>
        <v>Bruno bizarro (letra ruim), BOZSA, Luan viado, RAY, WILL</v>
      </c>
      <c r="C43" s="7"/>
    </row>
    <row r="44" hidden="1">
      <c r="A44" s="7" t="str">
        <f>IFERROR(__xludf.DUMMYFUNCTION("""COMPUTED_VALUE"""),"barbara streinsend")</f>
        <v>barbara streinsend</v>
      </c>
      <c r="B44" s="35" t="str">
        <f>TEXTJOIN(", ", TRUE,
  IF(COUNTIF(Angela!$A$3:$A$5506, A44), Angela!$A$1, ),
  IF(COUNTIF(Rayreis!$A$3:$A$5506, A44), Rayreis!$A$1, ),
  IF(COUNTIF('Bruno bizarro'!$A$3:$A$5506, A44), 'Bruno bizarro'!$A$1, ),
  IF(COUNTIF(Bozsa!$A$3:$A$5506, A44), Bozsa!$A$1, ),
  IF(COUNTIF(Felipe!$A$3:$A$5506, A44), Felipe!$A$1, ),
  IF(COUNTIF(Luan!$A$3:$A$5506, A44), Luan!$A$1, ),
  IF(COUNTIF(Ray!$A$3:$A$5506, A44), Ray!$A$1, ),
  IF(COUNTIF(Raul!$A$3:$A$5506, A44), Raul!$A$1, ),
  IF(COUNTIF(Ricardo!$A$3:$A$5506, A44), Ricardo!$A$1, ),
  IF(COUNTIF(pixote!$A$3:$A$5506, A44), pixote!$A$1, ),
  IF(COUNTIF(Lucas!$A$3:$A$5506, A44), Lucas!$A$1, ),
  IF(COUNTIF(Will!$A$3:$A$5506, A44), Will!$A$1, )
)
</f>
        <v>Bruno bizarro (letra ruim)</v>
      </c>
      <c r="C44" s="7"/>
    </row>
    <row r="45" hidden="1">
      <c r="A45" s="7" t="str">
        <f>IFERROR(__xludf.DUMMYFUNCTION("""COMPUTED_VALUE"""),"mick jagger")</f>
        <v>mick jagger</v>
      </c>
      <c r="B45" s="35" t="str">
        <f>TEXTJOIN(", ", TRUE,
  IF(COUNTIF(Angela!$A$3:$A$5506, A45), Angela!$A$1, ),
  IF(COUNTIF(Rayreis!$A$3:$A$5506, A45), Rayreis!$A$1, ),
  IF(COUNTIF('Bruno bizarro'!$A$3:$A$5506, A45), 'Bruno bizarro'!$A$1, ),
  IF(COUNTIF(Bozsa!$A$3:$A$5506, A45), Bozsa!$A$1, ),
  IF(COUNTIF(Felipe!$A$3:$A$5506, A45), Felipe!$A$1, ),
  IF(COUNTIF(Luan!$A$3:$A$5506, A45), Luan!$A$1, ),
  IF(COUNTIF(Ray!$A$3:$A$5506, A45), Ray!$A$1, ),
  IF(COUNTIF(Raul!$A$3:$A$5506, A45), Raul!$A$1, ),
  IF(COUNTIF(Ricardo!$A$3:$A$5506, A45), Ricardo!$A$1, ),
  IF(COUNTIF(pixote!$A$3:$A$5506, A45), pixote!$A$1, ),
  IF(COUNTIF(Lucas!$A$3:$A$5506, A45), Lucas!$A$1, ),
  IF(COUNTIF(Will!$A$3:$A$5506, A45), Will!$A$1, )
)
</f>
        <v>Bruno bizarro (letra ruim)</v>
      </c>
      <c r="C45" s="7"/>
    </row>
    <row r="46" hidden="1">
      <c r="A46" s="7" t="str">
        <f>IFERROR(__xludf.DUMMYFUNCTION("""COMPUTED_VALUE"""),"faustao")</f>
        <v>faustao</v>
      </c>
      <c r="B46" s="35" t="str">
        <f>TEXTJOIN(", ", TRUE,
  IF(COUNTIF(Angela!$A$3:$A$5506, A46), Angela!$A$1, ),
  IF(COUNTIF(Rayreis!$A$3:$A$5506, A46), Rayreis!$A$1, ),
  IF(COUNTIF('Bruno bizarro'!$A$3:$A$5506, A46), 'Bruno bizarro'!$A$1, ),
  IF(COUNTIF(Bozsa!$A$3:$A$5506, A46), Bozsa!$A$1, ),
  IF(COUNTIF(Felipe!$A$3:$A$5506, A46), Felipe!$A$1, ),
  IF(COUNTIF(Luan!$A$3:$A$5506, A46), Luan!$A$1, ),
  IF(COUNTIF(Ray!$A$3:$A$5506, A46), Ray!$A$1, ),
  IF(COUNTIF(Raul!$A$3:$A$5506, A46), Raul!$A$1, ),
  IF(COUNTIF(Ricardo!$A$3:$A$5506, A46), Ricardo!$A$1, ),
  IF(COUNTIF(pixote!$A$3:$A$5506, A46), pixote!$A$1, ),
  IF(COUNTIF(Lucas!$A$3:$A$5506, A46), Lucas!$A$1, ),
  IF(COUNTIF(Will!$A$3:$A$5506, A46), Will!$A$1, )
)
</f>
        <v>Bruno bizarro (letra ruim), Luan viado, WILL</v>
      </c>
      <c r="C46" s="7"/>
    </row>
    <row r="47" hidden="1">
      <c r="A47" s="7" t="str">
        <f>IFERROR(__xludf.DUMMYFUNCTION("""COMPUTED_VALUE"""),"toguro")</f>
        <v>toguro</v>
      </c>
      <c r="B47" s="35" t="str">
        <f>TEXTJOIN(", ", TRUE,
  IF(COUNTIF(Angela!$A$3:$A$5506, A47), Angela!$A$1, ),
  IF(COUNTIF(Rayreis!$A$3:$A$5506, A47), Rayreis!$A$1, ),
  IF(COUNTIF('Bruno bizarro'!$A$3:$A$5506, A47), 'Bruno bizarro'!$A$1, ),
  IF(COUNTIF(Bozsa!$A$3:$A$5506, A47), Bozsa!$A$1, ),
  IF(COUNTIF(Felipe!$A$3:$A$5506, A47), Felipe!$A$1, ),
  IF(COUNTIF(Luan!$A$3:$A$5506, A47), Luan!$A$1, ),
  IF(COUNTIF(Ray!$A$3:$A$5506, A47), Ray!$A$1, ),
  IF(COUNTIF(Raul!$A$3:$A$5506, A47), Raul!$A$1, ),
  IF(COUNTIF(Ricardo!$A$3:$A$5506, A47), Ricardo!$A$1, ),
  IF(COUNTIF(pixote!$A$3:$A$5506, A47), pixote!$A$1, ),
  IF(COUNTIF(Lucas!$A$3:$A$5506, A47), Lucas!$A$1, ),
  IF(COUNTIF(Will!$A$3:$A$5506, A47), Will!$A$1, )
)
</f>
        <v>Bruno bizarro (letra ruim)</v>
      </c>
      <c r="C47" s="7"/>
    </row>
    <row r="48" hidden="1">
      <c r="A48" s="7" t="str">
        <f>IFERROR(__xludf.DUMMYFUNCTION("""COMPUTED_VALUE"""),"bolsonaro")</f>
        <v>bolsonaro</v>
      </c>
      <c r="B48" s="35" t="str">
        <f>TEXTJOIN(", ", TRUE,
  IF(COUNTIF(Angela!$A$3:$A$5506, A48), Angela!$A$1, ),
  IF(COUNTIF(Rayreis!$A$3:$A$5506, A48), Rayreis!$A$1, ),
  IF(COUNTIF('Bruno bizarro'!$A$3:$A$5506, A48), 'Bruno bizarro'!$A$1, ),
  IF(COUNTIF(Bozsa!$A$3:$A$5506, A48), Bozsa!$A$1, ),
  IF(COUNTIF(Felipe!$A$3:$A$5506, A48), Felipe!$A$1, ),
  IF(COUNTIF(Luan!$A$3:$A$5506, A48), Luan!$A$1, ),
  IF(COUNTIF(Ray!$A$3:$A$5506, A48), Ray!$A$1, ),
  IF(COUNTIF(Raul!$A$3:$A$5506, A48), Raul!$A$1, ),
  IF(COUNTIF(Ricardo!$A$3:$A$5506, A48), Ricardo!$A$1, ),
  IF(COUNTIF(pixote!$A$3:$A$5506, A48), pixote!$A$1, ),
  IF(COUNTIF(Lucas!$A$3:$A$5506, A48), Lucas!$A$1, ),
  IF(COUNTIF(Will!$A$3:$A$5506, A48), Will!$A$1, )
)
</f>
        <v>Bruno bizarro (letra ruim), Felipe, Pixote, Lucas aleatório</v>
      </c>
      <c r="C48" s="7"/>
    </row>
    <row r="49" hidden="1">
      <c r="A49" s="7" t="str">
        <f>IFERROR(__xludf.DUMMYFUNCTION("""COMPUTED_VALUE"""),"michal j fox")</f>
        <v>michal j fox</v>
      </c>
      <c r="B49" s="35" t="str">
        <f>TEXTJOIN(", ", TRUE,
  IF(COUNTIF(Angela!$A$3:$A$5506, A49), Angela!$A$1, ),
  IF(COUNTIF(Rayreis!$A$3:$A$5506, A49), Rayreis!$A$1, ),
  IF(COUNTIF('Bruno bizarro'!$A$3:$A$5506, A49), 'Bruno bizarro'!$A$1, ),
  IF(COUNTIF(Bozsa!$A$3:$A$5506, A49), Bozsa!$A$1, ),
  IF(COUNTIF(Felipe!$A$3:$A$5506, A49), Felipe!$A$1, ),
  IF(COUNTIF(Luan!$A$3:$A$5506, A49), Luan!$A$1, ),
  IF(COUNTIF(Ray!$A$3:$A$5506, A49), Ray!$A$1, ),
  IF(COUNTIF(Raul!$A$3:$A$5506, A49), Raul!$A$1, ),
  IF(COUNTIF(Ricardo!$A$3:$A$5506, A49), Ricardo!$A$1, ),
  IF(COUNTIF(pixote!$A$3:$A$5506, A49), pixote!$A$1, ),
  IF(COUNTIF(Lucas!$A$3:$A$5506, A49), Lucas!$A$1, ),
  IF(COUNTIF(Will!$A$3:$A$5506, A49), Will!$A$1, )
)
</f>
        <v>Bruno bizarro (letra ruim)</v>
      </c>
      <c r="C49" s="7"/>
    </row>
    <row r="50" hidden="1">
      <c r="A50" s="7" t="str">
        <f>IFERROR(__xludf.DUMMYFUNCTION("""COMPUTED_VALUE"""),"christofer lloyd")</f>
        <v>christofer lloyd</v>
      </c>
      <c r="B50" s="35" t="str">
        <f>TEXTJOIN(", ", TRUE,
  IF(COUNTIF(Angela!$A$3:$A$5506, A50), Angela!$A$1, ),
  IF(COUNTIF(Rayreis!$A$3:$A$5506, A50), Rayreis!$A$1, ),
  IF(COUNTIF('Bruno bizarro'!$A$3:$A$5506, A50), 'Bruno bizarro'!$A$1, ),
  IF(COUNTIF(Bozsa!$A$3:$A$5506, A50), Bozsa!$A$1, ),
  IF(COUNTIF(Felipe!$A$3:$A$5506, A50), Felipe!$A$1, ),
  IF(COUNTIF(Luan!$A$3:$A$5506, A50), Luan!$A$1, ),
  IF(COUNTIF(Ray!$A$3:$A$5506, A50), Ray!$A$1, ),
  IF(COUNTIF(Raul!$A$3:$A$5506, A50), Raul!$A$1, ),
  IF(COUNTIF(Ricardo!$A$3:$A$5506, A50), Ricardo!$A$1, ),
  IF(COUNTIF(pixote!$A$3:$A$5506, A50), pixote!$A$1, ),
  IF(COUNTIF(Lucas!$A$3:$A$5506, A50), Lucas!$A$1, ),
  IF(COUNTIF(Will!$A$3:$A$5506, A50), Will!$A$1, )
)
</f>
        <v>Bruno bizarro (letra ruim)</v>
      </c>
      <c r="C50" s="7"/>
    </row>
    <row r="51" hidden="1">
      <c r="A51" s="7" t="str">
        <f>IFERROR(__xludf.DUMMYFUNCTION("""COMPUTED_VALUE"""),"vicky vanilla")</f>
        <v>vicky vanilla</v>
      </c>
      <c r="B51" s="35" t="str">
        <f>TEXTJOIN(", ", TRUE,
  IF(COUNTIF(Angela!$A$3:$A$5506, A51), Angela!$A$1, ),
  IF(COUNTIF(Rayreis!$A$3:$A$5506, A51), Rayreis!$A$1, ),
  IF(COUNTIF('Bruno bizarro'!$A$3:$A$5506, A51), 'Bruno bizarro'!$A$1, ),
  IF(COUNTIF(Bozsa!$A$3:$A$5506, A51), Bozsa!$A$1, ),
  IF(COUNTIF(Felipe!$A$3:$A$5506, A51), Felipe!$A$1, ),
  IF(COUNTIF(Luan!$A$3:$A$5506, A51), Luan!$A$1, ),
  IF(COUNTIF(Ray!$A$3:$A$5506, A51), Ray!$A$1, ),
  IF(COUNTIF(Raul!$A$3:$A$5506, A51), Raul!$A$1, ),
  IF(COUNTIF(Ricardo!$A$3:$A$5506, A51), Ricardo!$A$1, ),
  IF(COUNTIF(pixote!$A$3:$A$5506, A51), pixote!$A$1, ),
  IF(COUNTIF(Lucas!$A$3:$A$5506, A51), Lucas!$A$1, ),
  IF(COUNTIF(Will!$A$3:$A$5506, A51), Will!$A$1, )
)
</f>
        <v>Bruno bizarro (letra ruim)</v>
      </c>
      <c r="C51" s="7"/>
    </row>
    <row r="52" hidden="1">
      <c r="A52" s="7" t="str">
        <f>IFERROR(__xludf.DUMMYFUNCTION("""COMPUTED_VALUE"""),"jenna fischer")</f>
        <v>jenna fischer</v>
      </c>
      <c r="B52" s="35" t="str">
        <f>TEXTJOIN(", ", TRUE,
  IF(COUNTIF(Angela!$A$3:$A$5506, A52), Angela!$A$1, ),
  IF(COUNTIF(Rayreis!$A$3:$A$5506, A52), Rayreis!$A$1, ),
  IF(COUNTIF('Bruno bizarro'!$A$3:$A$5506, A52), 'Bruno bizarro'!$A$1, ),
  IF(COUNTIF(Bozsa!$A$3:$A$5506, A52), Bozsa!$A$1, ),
  IF(COUNTIF(Felipe!$A$3:$A$5506, A52), Felipe!$A$1, ),
  IF(COUNTIF(Luan!$A$3:$A$5506, A52), Luan!$A$1, ),
  IF(COUNTIF(Ray!$A$3:$A$5506, A52), Ray!$A$1, ),
  IF(COUNTIF(Raul!$A$3:$A$5506, A52), Raul!$A$1, ),
  IF(COUNTIF(Ricardo!$A$3:$A$5506, A52), Ricardo!$A$1, ),
  IF(COUNTIF(pixote!$A$3:$A$5506, A52), pixote!$A$1, ),
  IF(COUNTIF(Lucas!$A$3:$A$5506, A52), Lucas!$A$1, ),
  IF(COUNTIF(Will!$A$3:$A$5506, A52), Will!$A$1, )
)
</f>
        <v>Bruno bizarro (letra ruim)</v>
      </c>
      <c r="C52" s="7"/>
    </row>
    <row r="53" hidden="1">
      <c r="A53" s="7" t="str">
        <f>IFERROR(__xludf.DUMMYFUNCTION("""COMPUTED_VALUE"""),"rei charles")</f>
        <v>rei charles</v>
      </c>
      <c r="B53" s="35" t="str">
        <f>TEXTJOIN(", ", TRUE,
  IF(COUNTIF(Angela!$A$3:$A$5506, A53), Angela!$A$1, ),
  IF(COUNTIF(Rayreis!$A$3:$A$5506, A53), Rayreis!$A$1, ),
  IF(COUNTIF('Bruno bizarro'!$A$3:$A$5506, A53), 'Bruno bizarro'!$A$1, ),
  IF(COUNTIF(Bozsa!$A$3:$A$5506, A53), Bozsa!$A$1, ),
  IF(COUNTIF(Felipe!$A$3:$A$5506, A53), Felipe!$A$1, ),
  IF(COUNTIF(Luan!$A$3:$A$5506, A53), Luan!$A$1, ),
  IF(COUNTIF(Ray!$A$3:$A$5506, A53), Ray!$A$1, ),
  IF(COUNTIF(Raul!$A$3:$A$5506, A53), Raul!$A$1, ),
  IF(COUNTIF(Ricardo!$A$3:$A$5506, A53), Ricardo!$A$1, ),
  IF(COUNTIF(pixote!$A$3:$A$5506, A53), pixote!$A$1, ),
  IF(COUNTIF(Lucas!$A$3:$A$5506, A53), Lucas!$A$1, ),
  IF(COUNTIF(Will!$A$3:$A$5506, A53), Will!$A$1, )
)
</f>
        <v>Bruno bizarro (letra ruim)</v>
      </c>
      <c r="C53" s="7"/>
    </row>
    <row r="54" hidden="1">
      <c r="A54" s="7" t="str">
        <f>IFERROR(__xludf.DUMMYFUNCTION("""COMPUTED_VALUE"""),"ary fontura")</f>
        <v>ary fontura</v>
      </c>
      <c r="B54" s="35" t="str">
        <f>TEXTJOIN(", ", TRUE,
  IF(COUNTIF(Angela!$A$3:$A$5506, A54), Angela!$A$1, ),
  IF(COUNTIF(Rayreis!$A$3:$A$5506, A54), Rayreis!$A$1, ),
  IF(COUNTIF('Bruno bizarro'!$A$3:$A$5506, A54), 'Bruno bizarro'!$A$1, ),
  IF(COUNTIF(Bozsa!$A$3:$A$5506, A54), Bozsa!$A$1, ),
  IF(COUNTIF(Felipe!$A$3:$A$5506, A54), Felipe!$A$1, ),
  IF(COUNTIF(Luan!$A$3:$A$5506, A54), Luan!$A$1, ),
  IF(COUNTIF(Ray!$A$3:$A$5506, A54), Ray!$A$1, ),
  IF(COUNTIF(Raul!$A$3:$A$5506, A54), Raul!$A$1, ),
  IF(COUNTIF(Ricardo!$A$3:$A$5506, A54), Ricardo!$A$1, ),
  IF(COUNTIF(pixote!$A$3:$A$5506, A54), pixote!$A$1, ),
  IF(COUNTIF(Lucas!$A$3:$A$5506, A54), Lucas!$A$1, ),
  IF(COUNTIF(Will!$A$3:$A$5506, A54), Will!$A$1, )
)
</f>
        <v>Bruno bizarro (letra ruim), Felipe, Luan viado, RAUL (ex-Coveiro) , Pixote</v>
      </c>
      <c r="C54" s="7"/>
    </row>
    <row r="55">
      <c r="A55" s="7" t="str">
        <f>IFERROR(__xludf.DUMMYFUNCTION("""COMPUTED_VALUE"""),"francisco cuoco")</f>
        <v>francisco cuoco</v>
      </c>
      <c r="B55" s="34" t="str">
        <f>TEXTJOIN(", ", TRUE,
  IF(COUNTIF(Angela!$A$3:$A$5506, A55), Angela!$A$1, ),
  IF(COUNTIF(Rayreis!$A$3:$A$5506, A55), Rayreis!$A$1, ),
  IF(COUNTIF('Bruno bizarro'!$A$3:$A$5506, A55), 'Bruno bizarro'!$A$1, ),
  IF(COUNTIF(Bozsa!$A$3:$A$5506, A55), Bozsa!$A$1, ),
  IF(COUNTIF(Felipe!$A$3:$A$5506, A55), Felipe!$A$1, ),
  IF(COUNTIF(Luan!$A$3:$A$5506, A55), Luan!$A$1, ),
  IF(COUNTIF(Ray!$A$3:$A$5506, A55), Ray!$A$1, ),
  IF(COUNTIF(Raul!$A$3:$A$5506, A55), Raul!$A$1, ),
  IF(COUNTIF(Ricardo!$A$3:$A$5506, A55), Ricardo!$A$1, ),
  IF(COUNTIF(pixote!$A$3:$A$5506, A55), pixote!$A$1, ),
  IF(COUNTIF(Lucas!$A$3:$A$5506, A55), Lucas!$A$1, ),
  IF(COUNTIF(Will!$A$3:$A$5506, A55), Will!$A$1, )
)
</f>
        <v>Bruno bizarro (letra ruim), BOZSA, Luan viado</v>
      </c>
      <c r="C55" s="12" t="s">
        <v>284</v>
      </c>
    </row>
    <row r="56" hidden="1">
      <c r="A56" s="7" t="str">
        <f>IFERROR(__xludf.DUMMYFUNCTION("""COMPUTED_VALUE"""),"celso portiollu")</f>
        <v>celso portiollu</v>
      </c>
      <c r="B56" s="35" t="str">
        <f>TEXTJOIN(", ", TRUE,
  IF(COUNTIF(Angela!$A$3:$A$5506, A56), Angela!$A$1, ),
  IF(COUNTIF(Rayreis!$A$3:$A$5506, A56), Rayreis!$A$1, ),
  IF(COUNTIF('Bruno bizarro'!$A$3:$A$5506, A56), 'Bruno bizarro'!$A$1, ),
  IF(COUNTIF(Bozsa!$A$3:$A$5506, A56), Bozsa!$A$1, ),
  IF(COUNTIF(Felipe!$A$3:$A$5506, A56), Felipe!$A$1, ),
  IF(COUNTIF(Luan!$A$3:$A$5506, A56), Luan!$A$1, ),
  IF(COUNTIF(Ray!$A$3:$A$5506, A56), Ray!$A$1, ),
  IF(COUNTIF(Raul!$A$3:$A$5506, A56), Raul!$A$1, ),
  IF(COUNTIF(Ricardo!$A$3:$A$5506, A56), Ricardo!$A$1, ),
  IF(COUNTIF(pixote!$A$3:$A$5506, A56), pixote!$A$1, ),
  IF(COUNTIF(Lucas!$A$3:$A$5506, A56), Lucas!$A$1, ),
  IF(COUNTIF(Will!$A$3:$A$5506, A56), Will!$A$1, )
)
</f>
        <v>Bruno bizarro (letra ruim)</v>
      </c>
      <c r="C56" s="7"/>
    </row>
    <row r="57" hidden="1">
      <c r="A57" s="7" t="str">
        <f>IFERROR(__xludf.DUMMYFUNCTION("""COMPUTED_VALUE"""),"kayky brito")</f>
        <v>kayky brito</v>
      </c>
      <c r="B57" s="35" t="str">
        <f>TEXTJOIN(", ", TRUE,
  IF(COUNTIF(Angela!$A$3:$A$5506, A57), Angela!$A$1, ),
  IF(COUNTIF(Rayreis!$A$3:$A$5506, A57), Rayreis!$A$1, ),
  IF(COUNTIF('Bruno bizarro'!$A$3:$A$5506, A57), 'Bruno bizarro'!$A$1, ),
  IF(COUNTIF(Bozsa!$A$3:$A$5506, A57), Bozsa!$A$1, ),
  IF(COUNTIF(Felipe!$A$3:$A$5506, A57), Felipe!$A$1, ),
  IF(COUNTIF(Luan!$A$3:$A$5506, A57), Luan!$A$1, ),
  IF(COUNTIF(Ray!$A$3:$A$5506, A57), Ray!$A$1, ),
  IF(COUNTIF(Raul!$A$3:$A$5506, A57), Raul!$A$1, ),
  IF(COUNTIF(Ricardo!$A$3:$A$5506, A57), Ricardo!$A$1, ),
  IF(COUNTIF(pixote!$A$3:$A$5506, A57), pixote!$A$1, ),
  IF(COUNTIF(Lucas!$A$3:$A$5506, A57), Lucas!$A$1, ),
  IF(COUNTIF(Will!$A$3:$A$5506, A57), Will!$A$1, )
)
</f>
        <v>Bruno bizarro (letra ruim)</v>
      </c>
      <c r="C57" s="7"/>
    </row>
    <row r="58" hidden="1">
      <c r="A58" s="7" t="str">
        <f>IFERROR(__xludf.DUMMYFUNCTION("""COMPUTED_VALUE"""),"oruam")</f>
        <v>oruam</v>
      </c>
      <c r="B58" s="35" t="str">
        <f>TEXTJOIN(", ", TRUE,
  IF(COUNTIF(Angela!$A$3:$A$5506, A58), Angela!$A$1, ),
  IF(COUNTIF(Rayreis!$A$3:$A$5506, A58), Rayreis!$A$1, ),
  IF(COUNTIF('Bruno bizarro'!$A$3:$A$5506, A58), 'Bruno bizarro'!$A$1, ),
  IF(COUNTIF(Bozsa!$A$3:$A$5506, A58), Bozsa!$A$1, ),
  IF(COUNTIF(Felipe!$A$3:$A$5506, A58), Felipe!$A$1, ),
  IF(COUNTIF(Luan!$A$3:$A$5506, A58), Luan!$A$1, ),
  IF(COUNTIF(Ray!$A$3:$A$5506, A58), Ray!$A$1, ),
  IF(COUNTIF(Raul!$A$3:$A$5506, A58), Raul!$A$1, ),
  IF(COUNTIF(Ricardo!$A$3:$A$5506, A58), Ricardo!$A$1, ),
  IF(COUNTIF(pixote!$A$3:$A$5506, A58), pixote!$A$1, ),
  IF(COUNTIF(Lucas!$A$3:$A$5506, A58), Lucas!$A$1, ),
  IF(COUNTIF(Will!$A$3:$A$5506, A58), Will!$A$1, )
)
</f>
        <v>Bruno bizarro (letra ruim)</v>
      </c>
      <c r="C58" s="7"/>
    </row>
    <row r="59" hidden="1">
      <c r="A59" s="7" t="str">
        <f>IFERROR(__xludf.DUMMYFUNCTION("""COMPUTED_VALUE"""),"leda nagle")</f>
        <v>leda nagle</v>
      </c>
      <c r="B59" s="35" t="str">
        <f>TEXTJOIN(", ", TRUE,
  IF(COUNTIF(Angela!$A$3:$A$5506, A59), Angela!$A$1, ),
  IF(COUNTIF(Rayreis!$A$3:$A$5506, A59), Rayreis!$A$1, ),
  IF(COUNTIF('Bruno bizarro'!$A$3:$A$5506, A59), 'Bruno bizarro'!$A$1, ),
  IF(COUNTIF(Bozsa!$A$3:$A$5506, A59), Bozsa!$A$1, ),
  IF(COUNTIF(Felipe!$A$3:$A$5506, A59), Felipe!$A$1, ),
  IF(COUNTIF(Luan!$A$3:$A$5506, A59), Luan!$A$1, ),
  IF(COUNTIF(Ray!$A$3:$A$5506, A59), Ray!$A$1, ),
  IF(COUNTIF(Raul!$A$3:$A$5506, A59), Raul!$A$1, ),
  IF(COUNTIF(Ricardo!$A$3:$A$5506, A59), Ricardo!$A$1, ),
  IF(COUNTIF(pixote!$A$3:$A$5506, A59), pixote!$A$1, ),
  IF(COUNTIF(Lucas!$A$3:$A$5506, A59), Lucas!$A$1, ),
  IF(COUNTIF(Will!$A$3:$A$5506, A59), Will!$A$1, )
)
</f>
        <v>Bruno bizarro (letra ruim), Luan viado</v>
      </c>
      <c r="C59" s="7"/>
    </row>
    <row r="60" hidden="1">
      <c r="A60" s="7" t="str">
        <f>IFERROR(__xludf.DUMMYFUNCTION("""COMPUTED_VALUE"""),"Lima Duarte")</f>
        <v>Lima Duarte</v>
      </c>
      <c r="B60" s="35" t="str">
        <f>TEXTJOIN(", ", TRUE,
  IF(COUNTIF(Angela!$A$3:$A$5506, A60), Angela!$A$1, ),
  IF(COUNTIF(Rayreis!$A$3:$A$5506, A60), Rayreis!$A$1, ),
  IF(COUNTIF('Bruno bizarro'!$A$3:$A$5506, A60), 'Bruno bizarro'!$A$1, ),
  IF(COUNTIF(Bozsa!$A$3:$A$5506, A60), Bozsa!$A$1, ),
  IF(COUNTIF(Felipe!$A$3:$A$5506, A60), Felipe!$A$1, ),
  IF(COUNTIF(Luan!$A$3:$A$5506, A60), Luan!$A$1, ),
  IF(COUNTIF(Ray!$A$3:$A$5506, A60), Ray!$A$1, ),
  IF(COUNTIF(Raul!$A$3:$A$5506, A60), Raul!$A$1, ),
  IF(COUNTIF(Ricardo!$A$3:$A$5506, A60), Ricardo!$A$1, ),
  IF(COUNTIF(pixote!$A$3:$A$5506, A60), pixote!$A$1, ),
  IF(COUNTIF(Lucas!$A$3:$A$5506, A60), Lucas!$A$1, ),
  IF(COUNTIF(Will!$A$3:$A$5506, A60), Will!$A$1, )
)
</f>
        <v>Ray satanista, BOZSA, Felipe, Luan viado, RAY, RAUL (ex-Coveiro) , Ricardo (Coveiro), Pixote, WILL</v>
      </c>
    </row>
    <row r="61" hidden="1">
      <c r="A61" s="7" t="str">
        <f>IFERROR(__xludf.DUMMYFUNCTION("""COMPUTED_VALUE"""),"Laura Cardoso")</f>
        <v>Laura Cardoso</v>
      </c>
      <c r="B61" s="35" t="str">
        <f>TEXTJOIN(", ", TRUE,
  IF(COUNTIF(Angela!$A$3:$A$5506, A61), Angela!$A$1, ),
  IF(COUNTIF(Rayreis!$A$3:$A$5506, A61), Rayreis!$A$1, ),
  IF(COUNTIF('Bruno bizarro'!$A$3:$A$5506, A61), 'Bruno bizarro'!$A$1, ),
  IF(COUNTIF(Bozsa!$A$3:$A$5506, A61), Bozsa!$A$1, ),
  IF(COUNTIF(Felipe!$A$3:$A$5506, A61), Felipe!$A$1, ),
  IF(COUNTIF(Luan!$A$3:$A$5506, A61), Luan!$A$1, ),
  IF(COUNTIF(Ray!$A$3:$A$5506, A61), Ray!$A$1, ),
  IF(COUNTIF(Raul!$A$3:$A$5506, A61), Raul!$A$1, ),
  IF(COUNTIF(Ricardo!$A$3:$A$5506, A61), Ricardo!$A$1, ),
  IF(COUNTIF(pixote!$A$3:$A$5506, A61), pixote!$A$1, ),
  IF(COUNTIF(Lucas!$A$3:$A$5506, A61), Lucas!$A$1, ),
  IF(COUNTIF(Will!$A$3:$A$5506, A61), Will!$A$1, )
)
</f>
        <v>BOZSA, Felipe, Luan viado, RAY, Pixote</v>
      </c>
    </row>
    <row r="62" hidden="1">
      <c r="A62" s="7" t="str">
        <f>IFERROR(__xludf.DUMMYFUNCTION("""COMPUTED_VALUE"""),"Ary fontoura")</f>
        <v>Ary fontoura</v>
      </c>
      <c r="B62" s="35" t="str">
        <f>TEXTJOIN(", ", TRUE,
  IF(COUNTIF(Angela!$A$3:$A$5506, A62), Angela!$A$1, ),
  IF(COUNTIF(Rayreis!$A$3:$A$5506, A62), Rayreis!$A$1, ),
  IF(COUNTIF('Bruno bizarro'!$A$3:$A$5506, A62), 'Bruno bizarro'!$A$1, ),
  IF(COUNTIF(Bozsa!$A$3:$A$5506, A62), Bozsa!$A$1, ),
  IF(COUNTIF(Felipe!$A$3:$A$5506, A62), Felipe!$A$1, ),
  IF(COUNTIF(Luan!$A$3:$A$5506, A62), Luan!$A$1, ),
  IF(COUNTIF(Ray!$A$3:$A$5506, A62), Ray!$A$1, ),
  IF(COUNTIF(Raul!$A$3:$A$5506, A62), Raul!$A$1, ),
  IF(COUNTIF(Ricardo!$A$3:$A$5506, A62), Ricardo!$A$1, ),
  IF(COUNTIF(pixote!$A$3:$A$5506, A62), pixote!$A$1, ),
  IF(COUNTIF(Lucas!$A$3:$A$5506, A62), Lucas!$A$1, ),
  IF(COUNTIF(Will!$A$3:$A$5506, A62), Will!$A$1, )
)
</f>
        <v>BOZSA, Ricardo (Coveiro)</v>
      </c>
    </row>
    <row r="63">
      <c r="A63" s="7" t="str">
        <f>IFERROR(__xludf.DUMMYFUNCTION("""COMPUTED_VALUE"""),"Joan Plowright")</f>
        <v>Joan Plowright</v>
      </c>
      <c r="B63" s="34" t="str">
        <f>TEXTJOIN(", ", TRUE,
  IF(COUNTIF(Angela!$A$3:$A$5506, A63), Angela!$A$1, ),
  IF(COUNTIF(Rayreis!$A$3:$A$5506, A63), Rayreis!$A$1, ),
  IF(COUNTIF('Bruno bizarro'!$A$3:$A$5506, A63), 'Bruno bizarro'!$A$1, ),
  IF(COUNTIF(Bozsa!$A$3:$A$5506, A63), Bozsa!$A$1, ),
  IF(COUNTIF(Felipe!$A$3:$A$5506, A63), Felipe!$A$1, ),
  IF(COUNTIF(Luan!$A$3:$A$5506, A63), Luan!$A$1, ),
  IF(COUNTIF(Ray!$A$3:$A$5506, A63), Ray!$A$1, ),
  IF(COUNTIF(Raul!$A$3:$A$5506, A63), Raul!$A$1, ),
  IF(COUNTIF(Ricardo!$A$3:$A$5506, A63), Ricardo!$A$1, ),
  IF(COUNTIF(pixote!$A$3:$A$5506, A63), pixote!$A$1, ),
  IF(COUNTIF(Lucas!$A$3:$A$5506, A63), Lucas!$A$1, ),
  IF(COUNTIF(Will!$A$3:$A$5506, A63), Will!$A$1, )
)
</f>
        <v>BOZSA</v>
      </c>
      <c r="C63" s="17" t="s">
        <v>285</v>
      </c>
    </row>
    <row r="64" hidden="1">
      <c r="A64" s="7" t="str">
        <f>IFERROR(__xludf.DUMMYFUNCTION("""COMPUTED_VALUE"""),"Ian Smith")</f>
        <v>Ian Smith</v>
      </c>
      <c r="B64" s="35" t="str">
        <f>TEXTJOIN(", ", TRUE,
  IF(COUNTIF(Angela!$A$3:$A$5506, A64), Angela!$A$1, ),
  IF(COUNTIF(Rayreis!$A$3:$A$5506, A64), Rayreis!$A$1, ),
  IF(COUNTIF('Bruno bizarro'!$A$3:$A$5506, A64), 'Bruno bizarro'!$A$1, ),
  IF(COUNTIF(Bozsa!$A$3:$A$5506, A64), Bozsa!$A$1, ),
  IF(COUNTIF(Felipe!$A$3:$A$5506, A64), Felipe!$A$1, ),
  IF(COUNTIF(Luan!$A$3:$A$5506, A64), Luan!$A$1, ),
  IF(COUNTIF(Ray!$A$3:$A$5506, A64), Ray!$A$1, ),
  IF(COUNTIF(Raul!$A$3:$A$5506, A64), Raul!$A$1, ),
  IF(COUNTIF(Ricardo!$A$3:$A$5506, A64), Ricardo!$A$1, ),
  IF(COUNTIF(pixote!$A$3:$A$5506, A64), pixote!$A$1, ),
  IF(COUNTIF(Lucas!$A$3:$A$5506, A64), Lucas!$A$1, ),
  IF(COUNTIF(Will!$A$3:$A$5506, A64), Will!$A$1, )
)
</f>
        <v>BOZSA</v>
      </c>
    </row>
    <row r="65" hidden="1">
      <c r="A65" s="7" t="str">
        <f>IFERROR(__xludf.DUMMYFUNCTION("""COMPUTED_VALUE"""),"Claudia rodrigues")</f>
        <v>Claudia rodrigues</v>
      </c>
      <c r="B65" s="35" t="str">
        <f>TEXTJOIN(", ", TRUE,
  IF(COUNTIF(Angela!$A$3:$A$5506, A65), Angela!$A$1, ),
  IF(COUNTIF(Rayreis!$A$3:$A$5506, A65), Rayreis!$A$1, ),
  IF(COUNTIF('Bruno bizarro'!$A$3:$A$5506, A65), 'Bruno bizarro'!$A$1, ),
  IF(COUNTIF(Bozsa!$A$3:$A$5506, A65), Bozsa!$A$1, ),
  IF(COUNTIF(Felipe!$A$3:$A$5506, A65), Felipe!$A$1, ),
  IF(COUNTIF(Luan!$A$3:$A$5506, A65), Luan!$A$1, ),
  IF(COUNTIF(Ray!$A$3:$A$5506, A65), Ray!$A$1, ),
  IF(COUNTIF(Raul!$A$3:$A$5506, A65), Raul!$A$1, ),
  IF(COUNTIF(Ricardo!$A$3:$A$5506, A65), Ricardo!$A$1, ),
  IF(COUNTIF(pixote!$A$3:$A$5506, A65), pixote!$A$1, ),
  IF(COUNTIF(Lucas!$A$3:$A$5506, A65), Lucas!$A$1, ),
  IF(COUNTIF(Will!$A$3:$A$5506, A65), Will!$A$1, )
)
</f>
        <v>BOZSA, Ricardo (Coveiro)</v>
      </c>
    </row>
    <row r="66">
      <c r="A66" s="7" t="str">
        <f>IFERROR(__xludf.DUMMYFUNCTION("""COMPUTED_VALUE"""),"Francisco cuoco")</f>
        <v>Francisco cuoco</v>
      </c>
      <c r="B66" s="34" t="str">
        <f>TEXTJOIN(", ", TRUE,
  IF(COUNTIF(Angela!$A$3:$A$5506, A66), Angela!$A$1, ),
  IF(COUNTIF(Rayreis!$A$3:$A$5506, A66), Rayreis!$A$1, ),
  IF(COUNTIF('Bruno bizarro'!$A$3:$A$5506, A66), 'Bruno bizarro'!$A$1, ),
  IF(COUNTIF(Bozsa!$A$3:$A$5506, A66), Bozsa!$A$1, ),
  IF(COUNTIF(Felipe!$A$3:$A$5506, A66), Felipe!$A$1, ),
  IF(COUNTIF(Luan!$A$3:$A$5506, A66), Luan!$A$1, ),
  IF(COUNTIF(Ray!$A$3:$A$5506, A66), Ray!$A$1, ),
  IF(COUNTIF(Raul!$A$3:$A$5506, A66), Raul!$A$1, ),
  IF(COUNTIF(Ricardo!$A$3:$A$5506, A66), Ricardo!$A$1, ),
  IF(COUNTIF(pixote!$A$3:$A$5506, A66), pixote!$A$1, ),
  IF(COUNTIF(Lucas!$A$3:$A$5506, A66), Lucas!$A$1, ),
  IF(COUNTIF(Will!$A$3:$A$5506, A66), Will!$A$1, )
)
</f>
        <v>Bruno bizarro (letra ruim), BOZSA, Luan viado</v>
      </c>
      <c r="C66" s="17" t="s">
        <v>284</v>
      </c>
    </row>
    <row r="67" hidden="1">
      <c r="A67" s="7" t="str">
        <f>IFERROR(__xludf.DUMMYFUNCTION("""COMPUTED_VALUE"""),"Fernanda montenegro")</f>
        <v>Fernanda montenegro</v>
      </c>
      <c r="B67" s="35" t="str">
        <f>TEXTJOIN(", ", TRUE,
  IF(COUNTIF(Angela!$A$3:$A$5506, A67), Angela!$A$1, ),
  IF(COUNTIF(Rayreis!$A$3:$A$5506, A67), Rayreis!$A$1, ),
  IF(COUNTIF('Bruno bizarro'!$A$3:$A$5506, A67), 'Bruno bizarro'!$A$1, ),
  IF(COUNTIF(Bozsa!$A$3:$A$5506, A67), Bozsa!$A$1, ),
  IF(COUNTIF(Felipe!$A$3:$A$5506, A67), Felipe!$A$1, ),
  IF(COUNTIF(Luan!$A$3:$A$5506, A67), Luan!$A$1, ),
  IF(COUNTIF(Ray!$A$3:$A$5506, A67), Ray!$A$1, ),
  IF(COUNTIF(Raul!$A$3:$A$5506, A67), Raul!$A$1, ),
  IF(COUNTIF(Ricardo!$A$3:$A$5506, A67), Ricardo!$A$1, ),
  IF(COUNTIF(pixote!$A$3:$A$5506, A67), pixote!$A$1, ),
  IF(COUNTIF(Lucas!$A$3:$A$5506, A67), Lucas!$A$1, ),
  IF(COUNTIF(Will!$A$3:$A$5506, A67), Will!$A$1, )
)
</f>
        <v>Bruno bizarro (letra ruim), BOZSA, Luan viado, RAY, WILL</v>
      </c>
    </row>
    <row r="68" hidden="1">
      <c r="A68" s="7" t="str">
        <f>IFERROR(__xludf.DUMMYFUNCTION("""COMPUTED_VALUE"""),"Nathalia timberg")</f>
        <v>Nathalia timberg</v>
      </c>
      <c r="B68" s="35" t="str">
        <f>TEXTJOIN(", ", TRUE,
  IF(COUNTIF(Angela!$A$3:$A$5506, A68), Angela!$A$1, ),
  IF(COUNTIF(Rayreis!$A$3:$A$5506, A68), Rayreis!$A$1, ),
  IF(COUNTIF('Bruno bizarro'!$A$3:$A$5506, A68), 'Bruno bizarro'!$A$1, ),
  IF(COUNTIF(Bozsa!$A$3:$A$5506, A68), Bozsa!$A$1, ),
  IF(COUNTIF(Felipe!$A$3:$A$5506, A68), Felipe!$A$1, ),
  IF(COUNTIF(Luan!$A$3:$A$5506, A68), Luan!$A$1, ),
  IF(COUNTIF(Ray!$A$3:$A$5506, A68), Ray!$A$1, ),
  IF(COUNTIF(Raul!$A$3:$A$5506, A68), Raul!$A$1, ),
  IF(COUNTIF(Ricardo!$A$3:$A$5506, A68), Ricardo!$A$1, ),
  IF(COUNTIF(pixote!$A$3:$A$5506, A68), pixote!$A$1, ),
  IF(COUNTIF(Lucas!$A$3:$A$5506, A68), Lucas!$A$1, ),
  IF(COUNTIF(Will!$A$3:$A$5506, A68), Will!$A$1, )
)
</f>
        <v>BOZSA</v>
      </c>
    </row>
    <row r="69" hidden="1">
      <c r="A69" s="7" t="str">
        <f>IFERROR(__xludf.DUMMYFUNCTION("""COMPUTED_VALUE"""),"Barbara eoen")</f>
        <v>Barbara eoen</v>
      </c>
      <c r="B69" s="35" t="str">
        <f>TEXTJOIN(", ", TRUE,
  IF(COUNTIF(Angela!$A$3:$A$5506, A69), Angela!$A$1, ),
  IF(COUNTIF(Rayreis!$A$3:$A$5506, A69), Rayreis!$A$1, ),
  IF(COUNTIF('Bruno bizarro'!$A$3:$A$5506, A69), 'Bruno bizarro'!$A$1, ),
  IF(COUNTIF(Bozsa!$A$3:$A$5506, A69), Bozsa!$A$1, ),
  IF(COUNTIF(Felipe!$A$3:$A$5506, A69), Felipe!$A$1, ),
  IF(COUNTIF(Luan!$A$3:$A$5506, A69), Luan!$A$1, ),
  IF(COUNTIF(Ray!$A$3:$A$5506, A69), Ray!$A$1, ),
  IF(COUNTIF(Raul!$A$3:$A$5506, A69), Raul!$A$1, ),
  IF(COUNTIF(Ricardo!$A$3:$A$5506, A69), Ricardo!$A$1, ),
  IF(COUNTIF(pixote!$A$3:$A$5506, A69), pixote!$A$1, ),
  IF(COUNTIF(Lucas!$A$3:$A$5506, A69), Lucas!$A$1, ),
  IF(COUNTIF(Will!$A$3:$A$5506, A69), Will!$A$1, )
)
</f>
        <v>BOZSA</v>
      </c>
    </row>
    <row r="70" hidden="1">
      <c r="A70" s="7" t="str">
        <f>IFERROR(__xludf.DUMMYFUNCTION("""COMPUTED_VALUE"""),"Dede santana")</f>
        <v>Dede santana</v>
      </c>
      <c r="B70" s="35" t="str">
        <f>TEXTJOIN(", ", TRUE,
  IF(COUNTIF(Angela!$A$3:$A$5506, A70), Angela!$A$1, ),
  IF(COUNTIF(Rayreis!$A$3:$A$5506, A70), Rayreis!$A$1, ),
  IF(COUNTIF('Bruno bizarro'!$A$3:$A$5506, A70), 'Bruno bizarro'!$A$1, ),
  IF(COUNTIF(Bozsa!$A$3:$A$5506, A70), Bozsa!$A$1, ),
  IF(COUNTIF(Felipe!$A$3:$A$5506, A70), Felipe!$A$1, ),
  IF(COUNTIF(Luan!$A$3:$A$5506, A70), Luan!$A$1, ),
  IF(COUNTIF(Ray!$A$3:$A$5506, A70), Ray!$A$1, ),
  IF(COUNTIF(Raul!$A$3:$A$5506, A70), Raul!$A$1, ),
  IF(COUNTIF(Ricardo!$A$3:$A$5506, A70), Ricardo!$A$1, ),
  IF(COUNTIF(pixote!$A$3:$A$5506, A70), pixote!$A$1, ),
  IF(COUNTIF(Lucas!$A$3:$A$5506, A70), Lucas!$A$1, ),
  IF(COUNTIF(Will!$A$3:$A$5506, A70), Will!$A$1, )
)
</f>
        <v>BOZSA</v>
      </c>
    </row>
    <row r="71" hidden="1">
      <c r="A71" s="7" t="str">
        <f>IFERROR(__xludf.DUMMYFUNCTION("""COMPUTED_VALUE"""),"Tiago leifert")</f>
        <v>Tiago leifert</v>
      </c>
      <c r="B71" s="35" t="str">
        <f>TEXTJOIN(", ", TRUE,
  IF(COUNTIF(Angela!$A$3:$A$5506, A71), Angela!$A$1, ),
  IF(COUNTIF(Rayreis!$A$3:$A$5506, A71), Rayreis!$A$1, ),
  IF(COUNTIF('Bruno bizarro'!$A$3:$A$5506, A71), 'Bruno bizarro'!$A$1, ),
  IF(COUNTIF(Bozsa!$A$3:$A$5506, A71), Bozsa!$A$1, ),
  IF(COUNTIF(Felipe!$A$3:$A$5506, A71), Felipe!$A$1, ),
  IF(COUNTIF(Luan!$A$3:$A$5506, A71), Luan!$A$1, ),
  IF(COUNTIF(Ray!$A$3:$A$5506, A71), Ray!$A$1, ),
  IF(COUNTIF(Raul!$A$3:$A$5506, A71), Raul!$A$1, ),
  IF(COUNTIF(Ricardo!$A$3:$A$5506, A71), Ricardo!$A$1, ),
  IF(COUNTIF(pixote!$A$3:$A$5506, A71), pixote!$A$1, ),
  IF(COUNTIF(Lucas!$A$3:$A$5506, A71), Lucas!$A$1, ),
  IF(COUNTIF(Will!$A$3:$A$5506, A71), Will!$A$1, )
)
</f>
        <v>BOZSA</v>
      </c>
    </row>
    <row r="72" hidden="1">
      <c r="A72" s="7" t="str">
        <f>IFERROR(__xludf.DUMMYFUNCTION("""COMPUTED_VALUE"""),"StenioGarcia")</f>
        <v>StenioGarcia</v>
      </c>
      <c r="B72" s="35" t="str">
        <f>TEXTJOIN(", ", TRUE,
  IF(COUNTIF(Angela!$A$3:$A$5506, A72), Angela!$A$1, ),
  IF(COUNTIF(Rayreis!$A$3:$A$5506, A72), Rayreis!$A$1, ),
  IF(COUNTIF('Bruno bizarro'!$A$3:$A$5506, A72), 'Bruno bizarro'!$A$1, ),
  IF(COUNTIF(Bozsa!$A$3:$A$5506, A72), Bozsa!$A$1, ),
  IF(COUNTIF(Felipe!$A$3:$A$5506, A72), Felipe!$A$1, ),
  IF(COUNTIF(Luan!$A$3:$A$5506, A72), Luan!$A$1, ),
  IF(COUNTIF(Ray!$A$3:$A$5506, A72), Ray!$A$1, ),
  IF(COUNTIF(Raul!$A$3:$A$5506, A72), Raul!$A$1, ),
  IF(COUNTIF(Ricardo!$A$3:$A$5506, A72), Ricardo!$A$1, ),
  IF(COUNTIF(pixote!$A$3:$A$5506, A72), pixote!$A$1, ),
  IF(COUNTIF(Lucas!$A$3:$A$5506, A72), Lucas!$A$1, ),
  IF(COUNTIF(Will!$A$3:$A$5506, A72), Will!$A$1, )
)
</f>
        <v>BOZSA</v>
      </c>
    </row>
    <row r="73" hidden="1">
      <c r="A73" s="7" t="str">
        <f>IFERROR(__xludf.DUMMYFUNCTION("""COMPUTED_VALUE"""),"Carlos alberto de nobrega")</f>
        <v>Carlos alberto de nobrega</v>
      </c>
      <c r="B73" s="35" t="str">
        <f>TEXTJOIN(", ", TRUE,
  IF(COUNTIF(Angela!$A$3:$A$5506, A73), Angela!$A$1, ),
  IF(COUNTIF(Rayreis!$A$3:$A$5506, A73), Rayreis!$A$1, ),
  IF(COUNTIF('Bruno bizarro'!$A$3:$A$5506, A73), 'Bruno bizarro'!$A$1, ),
  IF(COUNTIF(Bozsa!$A$3:$A$5506, A73), Bozsa!$A$1, ),
  IF(COUNTIF(Felipe!$A$3:$A$5506, A73), Felipe!$A$1, ),
  IF(COUNTIF(Luan!$A$3:$A$5506, A73), Luan!$A$1, ),
  IF(COUNTIF(Ray!$A$3:$A$5506, A73), Ray!$A$1, ),
  IF(COUNTIF(Raul!$A$3:$A$5506, A73), Raul!$A$1, ),
  IF(COUNTIF(Ricardo!$A$3:$A$5506, A73), Ricardo!$A$1, ),
  IF(COUNTIF(pixote!$A$3:$A$5506, A73), pixote!$A$1, ),
  IF(COUNTIF(Lucas!$A$3:$A$5506, A73), Lucas!$A$1, ),
  IF(COUNTIF(Will!$A$3:$A$5506, A73), Will!$A$1, )
)
</f>
        <v>BOZSA</v>
      </c>
    </row>
    <row r="74" hidden="1">
      <c r="A74" s="7" t="str">
        <f>IFERROR(__xludf.DUMMYFUNCTION("""COMPUTED_VALUE"""),"Paulinho da viola")</f>
        <v>Paulinho da viola</v>
      </c>
      <c r="B74" s="35" t="str">
        <f>TEXTJOIN(", ", TRUE,
  IF(COUNTIF(Angela!$A$3:$A$5506, A74), Angela!$A$1, ),
  IF(COUNTIF(Rayreis!$A$3:$A$5506, A74), Rayreis!$A$1, ),
  IF(COUNTIF('Bruno bizarro'!$A$3:$A$5506, A74), 'Bruno bizarro'!$A$1, ),
  IF(COUNTIF(Bozsa!$A$3:$A$5506, A74), Bozsa!$A$1, ),
  IF(COUNTIF(Felipe!$A$3:$A$5506, A74), Felipe!$A$1, ),
  IF(COUNTIF(Luan!$A$3:$A$5506, A74), Luan!$A$1, ),
  IF(COUNTIF(Ray!$A$3:$A$5506, A74), Ray!$A$1, ),
  IF(COUNTIF(Raul!$A$3:$A$5506, A74), Raul!$A$1, ),
  IF(COUNTIF(Ricardo!$A$3:$A$5506, A74), Ricardo!$A$1, ),
  IF(COUNTIF(pixote!$A$3:$A$5506, A74), pixote!$A$1, ),
  IF(COUNTIF(Lucas!$A$3:$A$5506, A74), Lucas!$A$1, ),
  IF(COUNTIF(Will!$A$3:$A$5506, A74), Will!$A$1, )
)
</f>
        <v>BOZSA</v>
      </c>
    </row>
    <row r="75" hidden="1">
      <c r="A75" s="7" t="str">
        <f>IFERROR(__xludf.DUMMYFUNCTION("""COMPUTED_VALUE"""),"Thais carla")</f>
        <v>Thais carla</v>
      </c>
      <c r="B75" s="35" t="str">
        <f>TEXTJOIN(", ", TRUE,
  IF(COUNTIF(Angela!$A$3:$A$5506, A75), Angela!$A$1, ),
  IF(COUNTIF(Rayreis!$A$3:$A$5506, A75), Rayreis!$A$1, ),
  IF(COUNTIF('Bruno bizarro'!$A$3:$A$5506, A75), 'Bruno bizarro'!$A$1, ),
  IF(COUNTIF(Bozsa!$A$3:$A$5506, A75), Bozsa!$A$1, ),
  IF(COUNTIF(Felipe!$A$3:$A$5506, A75), Felipe!$A$1, ),
  IF(COUNTIF(Luan!$A$3:$A$5506, A75), Luan!$A$1, ),
  IF(COUNTIF(Ray!$A$3:$A$5506, A75), Ray!$A$1, ),
  IF(COUNTIF(Raul!$A$3:$A$5506, A75), Raul!$A$1, ),
  IF(COUNTIF(Ricardo!$A$3:$A$5506, A75), Ricardo!$A$1, ),
  IF(COUNTIF(pixote!$A$3:$A$5506, A75), pixote!$A$1, ),
  IF(COUNTIF(Lucas!$A$3:$A$5506, A75), Lucas!$A$1, ),
  IF(COUNTIF(Will!$A$3:$A$5506, A75), Will!$A$1, )
)
</f>
        <v>BOZSA, Pixote</v>
      </c>
    </row>
    <row r="76" hidden="1">
      <c r="A76" s="7" t="str">
        <f>IFERROR(__xludf.DUMMYFUNCTION("""COMPUTED_VALUE"""),"Ringo Star")</f>
        <v>Ringo Star</v>
      </c>
      <c r="B76" s="35" t="str">
        <f>TEXTJOIN(", ", TRUE,
  IF(COUNTIF(Angela!$A$3:$A$5506, A76), Angela!$A$1, ),
  IF(COUNTIF(Rayreis!$A$3:$A$5506, A76), Rayreis!$A$1, ),
  IF(COUNTIF('Bruno bizarro'!$A$3:$A$5506, A76), 'Bruno bizarro'!$A$1, ),
  IF(COUNTIF(Bozsa!$A$3:$A$5506, A76), Bozsa!$A$1, ),
  IF(COUNTIF(Felipe!$A$3:$A$5506, A76), Felipe!$A$1, ),
  IF(COUNTIF(Luan!$A$3:$A$5506, A76), Luan!$A$1, ),
  IF(COUNTIF(Ray!$A$3:$A$5506, A76), Ray!$A$1, ),
  IF(COUNTIF(Raul!$A$3:$A$5506, A76), Raul!$A$1, ),
  IF(COUNTIF(Ricardo!$A$3:$A$5506, A76), Ricardo!$A$1, ),
  IF(COUNTIF(pixote!$A$3:$A$5506, A76), pixote!$A$1, ),
  IF(COUNTIF(Lucas!$A$3:$A$5506, A76), Lucas!$A$1, ),
  IF(COUNTIF(Will!$A$3:$A$5506, A76), Will!$A$1, )
)
</f>
        <v>BOZSA</v>
      </c>
    </row>
    <row r="77" hidden="1">
      <c r="A77" s="7" t="str">
        <f>IFERROR(__xludf.DUMMYFUNCTION("""COMPUTED_VALUE"""),"Diana ross")</f>
        <v>Diana ross</v>
      </c>
      <c r="B77" s="35" t="str">
        <f>TEXTJOIN(", ", TRUE,
  IF(COUNTIF(Angela!$A$3:$A$5506, A77), Angela!$A$1, ),
  IF(COUNTIF(Rayreis!$A$3:$A$5506, A77), Rayreis!$A$1, ),
  IF(COUNTIF('Bruno bizarro'!$A$3:$A$5506, A77), 'Bruno bizarro'!$A$1, ),
  IF(COUNTIF(Bozsa!$A$3:$A$5506, A77), Bozsa!$A$1, ),
  IF(COUNTIF(Felipe!$A$3:$A$5506, A77), Felipe!$A$1, ),
  IF(COUNTIF(Luan!$A$3:$A$5506, A77), Luan!$A$1, ),
  IF(COUNTIF(Ray!$A$3:$A$5506, A77), Ray!$A$1, ),
  IF(COUNTIF(Raul!$A$3:$A$5506, A77), Raul!$A$1, ),
  IF(COUNTIF(Ricardo!$A$3:$A$5506, A77), Ricardo!$A$1, ),
  IF(COUNTIF(pixote!$A$3:$A$5506, A77), pixote!$A$1, ),
  IF(COUNTIF(Lucas!$A$3:$A$5506, A77), Lucas!$A$1, ),
  IF(COUNTIF(Will!$A$3:$A$5506, A77), Will!$A$1, )
)
</f>
        <v>BOZSA</v>
      </c>
    </row>
    <row r="78" hidden="1">
      <c r="A78" s="7" t="str">
        <f>IFERROR(__xludf.DUMMYFUNCTION("""COMPUTED_VALUE"""),"Renato aragão")</f>
        <v>Renato aragão</v>
      </c>
      <c r="B78" s="35" t="str">
        <f>TEXTJOIN(", ", TRUE,
  IF(COUNTIF(Angela!$A$3:$A$5506, A78), Angela!$A$1, ),
  IF(COUNTIF(Rayreis!$A$3:$A$5506, A78), Rayreis!$A$1, ),
  IF(COUNTIF('Bruno bizarro'!$A$3:$A$5506, A78), 'Bruno bizarro'!$A$1, ),
  IF(COUNTIF(Bozsa!$A$3:$A$5506, A78), Bozsa!$A$1, ),
  IF(COUNTIF(Felipe!$A$3:$A$5506, A78), Felipe!$A$1, ),
  IF(COUNTIF(Luan!$A$3:$A$5506, A78), Luan!$A$1, ),
  IF(COUNTIF(Ray!$A$3:$A$5506, A78), Ray!$A$1, ),
  IF(COUNTIF(Raul!$A$3:$A$5506, A78), Raul!$A$1, ),
  IF(COUNTIF(Ricardo!$A$3:$A$5506, A78), Ricardo!$A$1, ),
  IF(COUNTIF(pixote!$A$3:$A$5506, A78), pixote!$A$1, ),
  IF(COUNTIF(Lucas!$A$3:$A$5506, A78), Lucas!$A$1, ),
  IF(COUNTIF(Will!$A$3:$A$5506, A78), Will!$A$1, )
)
</f>
        <v>Felipe</v>
      </c>
    </row>
    <row r="79" hidden="1">
      <c r="A79" s="7" t="str">
        <f>IFERROR(__xludf.DUMMYFUNCTION("""COMPUTED_VALUE"""),"Felipe castanhari")</f>
        <v>Felipe castanhari</v>
      </c>
      <c r="B79" s="35" t="str">
        <f>TEXTJOIN(", ", TRUE,
  IF(COUNTIF(Angela!$A$3:$A$5506, A79), Angela!$A$1, ),
  IF(COUNTIF(Rayreis!$A$3:$A$5506, A79), Rayreis!$A$1, ),
  IF(COUNTIF('Bruno bizarro'!$A$3:$A$5506, A79), 'Bruno bizarro'!$A$1, ),
  IF(COUNTIF(Bozsa!$A$3:$A$5506, A79), Bozsa!$A$1, ),
  IF(COUNTIF(Felipe!$A$3:$A$5506, A79), Felipe!$A$1, ),
  IF(COUNTIF(Luan!$A$3:$A$5506, A79), Luan!$A$1, ),
  IF(COUNTIF(Ray!$A$3:$A$5506, A79), Ray!$A$1, ),
  IF(COUNTIF(Raul!$A$3:$A$5506, A79), Raul!$A$1, ),
  IF(COUNTIF(Ricardo!$A$3:$A$5506, A79), Ricardo!$A$1, ),
  IF(COUNTIF(pixote!$A$3:$A$5506, A79), pixote!$A$1, ),
  IF(COUNTIF(Lucas!$A$3:$A$5506, A79), Lucas!$A$1, ),
  IF(COUNTIF(Will!$A$3:$A$5506, A79), Will!$A$1, )
)
</f>
        <v>Felipe</v>
      </c>
    </row>
    <row r="80" hidden="1">
      <c r="A80" s="7" t="str">
        <f>IFERROR(__xludf.DUMMYFUNCTION("""COMPUTED_VALUE"""),"Laura cardoso")</f>
        <v>Laura cardoso</v>
      </c>
      <c r="B80" s="35" t="str">
        <f>TEXTJOIN(", ", TRUE,
  IF(COUNTIF(Angela!$A$3:$A$5506, A80), Angela!$A$1, ),
  IF(COUNTIF(Rayreis!$A$3:$A$5506, A80), Rayreis!$A$1, ),
  IF(COUNTIF('Bruno bizarro'!$A$3:$A$5506, A80), 'Bruno bizarro'!$A$1, ),
  IF(COUNTIF(Bozsa!$A$3:$A$5506, A80), Bozsa!$A$1, ),
  IF(COUNTIF(Felipe!$A$3:$A$5506, A80), Felipe!$A$1, ),
  IF(COUNTIF(Luan!$A$3:$A$5506, A80), Luan!$A$1, ),
  IF(COUNTIF(Ray!$A$3:$A$5506, A80), Ray!$A$1, ),
  IF(COUNTIF(Raul!$A$3:$A$5506, A80), Raul!$A$1, ),
  IF(COUNTIF(Ricardo!$A$3:$A$5506, A80), Ricardo!$A$1, ),
  IF(COUNTIF(pixote!$A$3:$A$5506, A80), pixote!$A$1, ),
  IF(COUNTIF(Lucas!$A$3:$A$5506, A80), Lucas!$A$1, ),
  IF(COUNTIF(Will!$A$3:$A$5506, A80), Will!$A$1, )
)
</f>
        <v>BOZSA, Felipe, Luan viado, RAY, Pixote</v>
      </c>
    </row>
    <row r="81" hidden="1">
      <c r="A81" s="7" t="str">
        <f>IFERROR(__xludf.DUMMYFUNCTION("""COMPUTED_VALUE"""),"Lima duarte")</f>
        <v>Lima duarte</v>
      </c>
      <c r="B81" s="35" t="str">
        <f>TEXTJOIN(", ", TRUE,
  IF(COUNTIF(Angela!$A$3:$A$5506, A81), Angela!$A$1, ),
  IF(COUNTIF(Rayreis!$A$3:$A$5506, A81), Rayreis!$A$1, ),
  IF(COUNTIF('Bruno bizarro'!$A$3:$A$5506, A81), 'Bruno bizarro'!$A$1, ),
  IF(COUNTIF(Bozsa!$A$3:$A$5506, A81), Bozsa!$A$1, ),
  IF(COUNTIF(Felipe!$A$3:$A$5506, A81), Felipe!$A$1, ),
  IF(COUNTIF(Luan!$A$3:$A$5506, A81), Luan!$A$1, ),
  IF(COUNTIF(Ray!$A$3:$A$5506, A81), Ray!$A$1, ),
  IF(COUNTIF(Raul!$A$3:$A$5506, A81), Raul!$A$1, ),
  IF(COUNTIF(Ricardo!$A$3:$A$5506, A81), Ricardo!$A$1, ),
  IF(COUNTIF(pixote!$A$3:$A$5506, A81), pixote!$A$1, ),
  IF(COUNTIF(Lucas!$A$3:$A$5506, A81), Lucas!$A$1, ),
  IF(COUNTIF(Will!$A$3:$A$5506, A81), Will!$A$1, )
)
</f>
        <v>Ray satanista, BOZSA, Felipe, Luan viado, RAY, RAUL (ex-Coveiro) , Ricardo (Coveiro), Pixote, WILL</v>
      </c>
    </row>
    <row r="82" hidden="1">
      <c r="A82" s="7" t="str">
        <f>IFERROR(__xludf.DUMMYFUNCTION("""COMPUTED_VALUE"""),"Ary fontura")</f>
        <v>Ary fontura</v>
      </c>
      <c r="B82" s="35" t="str">
        <f>TEXTJOIN(", ", TRUE,
  IF(COUNTIF(Angela!$A$3:$A$5506, A82), Angela!$A$1, ),
  IF(COUNTIF(Rayreis!$A$3:$A$5506, A82), Rayreis!$A$1, ),
  IF(COUNTIF('Bruno bizarro'!$A$3:$A$5506, A82), 'Bruno bizarro'!$A$1, ),
  IF(COUNTIF(Bozsa!$A$3:$A$5506, A82), Bozsa!$A$1, ),
  IF(COUNTIF(Felipe!$A$3:$A$5506, A82), Felipe!$A$1, ),
  IF(COUNTIF(Luan!$A$3:$A$5506, A82), Luan!$A$1, ),
  IF(COUNTIF(Ray!$A$3:$A$5506, A82), Ray!$A$1, ),
  IF(COUNTIF(Raul!$A$3:$A$5506, A82), Raul!$A$1, ),
  IF(COUNTIF(Ricardo!$A$3:$A$5506, A82), Ricardo!$A$1, ),
  IF(COUNTIF(pixote!$A$3:$A$5506, A82), pixote!$A$1, ),
  IF(COUNTIF(Lucas!$A$3:$A$5506, A82), Lucas!$A$1, ),
  IF(COUNTIF(Will!$A$3:$A$5506, A82), Will!$A$1, )
)
</f>
        <v>Bruno bizarro (letra ruim), Felipe, Luan viado, RAUL (ex-Coveiro) , Pixote</v>
      </c>
    </row>
    <row r="83" hidden="1">
      <c r="A83" s="7" t="str">
        <f>IFERROR(__xludf.DUMMYFUNCTION("""COMPUTED_VALUE"""),"Gilberto gil")</f>
        <v>Gilberto gil</v>
      </c>
      <c r="B83" s="35" t="str">
        <f>TEXTJOIN(", ", TRUE,
  IF(COUNTIF(Angela!$A$3:$A$5506, A83), Angela!$A$1, ),
  IF(COUNTIF(Rayreis!$A$3:$A$5506, A83), Rayreis!$A$1, ),
  IF(COUNTIF('Bruno bizarro'!$A$3:$A$5506, A83), 'Bruno bizarro'!$A$1, ),
  IF(COUNTIF(Bozsa!$A$3:$A$5506, A83), Bozsa!$A$1, ),
  IF(COUNTIF(Felipe!$A$3:$A$5506, A83), Felipe!$A$1, ),
  IF(COUNTIF(Luan!$A$3:$A$5506, A83), Luan!$A$1, ),
  IF(COUNTIF(Ray!$A$3:$A$5506, A83), Ray!$A$1, ),
  IF(COUNTIF(Raul!$A$3:$A$5506, A83), Raul!$A$1, ),
  IF(COUNTIF(Ricardo!$A$3:$A$5506, A83), Ricardo!$A$1, ),
  IF(COUNTIF(pixote!$A$3:$A$5506, A83), pixote!$A$1, ),
  IF(COUNTIF(Lucas!$A$3:$A$5506, A83), Lucas!$A$1, ),
  IF(COUNTIF(Will!$A$3:$A$5506, A83), Will!$A$1, )
)
</f>
        <v>Felipe, WILL</v>
      </c>
    </row>
    <row r="84" hidden="1">
      <c r="A84" s="7" t="str">
        <f>IFERROR(__xludf.DUMMYFUNCTION("""COMPUTED_VALUE"""),"Nicolas cage")</f>
        <v>Nicolas cage</v>
      </c>
      <c r="B84" s="35" t="str">
        <f>TEXTJOIN(", ", TRUE,
  IF(COUNTIF(Angela!$A$3:$A$5506, A84), Angela!$A$1, ),
  IF(COUNTIF(Rayreis!$A$3:$A$5506, A84), Rayreis!$A$1, ),
  IF(COUNTIF('Bruno bizarro'!$A$3:$A$5506, A84), 'Bruno bizarro'!$A$1, ),
  IF(COUNTIF(Bozsa!$A$3:$A$5506, A84), Bozsa!$A$1, ),
  IF(COUNTIF(Felipe!$A$3:$A$5506, A84), Felipe!$A$1, ),
  IF(COUNTIF(Luan!$A$3:$A$5506, A84), Luan!$A$1, ),
  IF(COUNTIF(Ray!$A$3:$A$5506, A84), Ray!$A$1, ),
  IF(COUNTIF(Raul!$A$3:$A$5506, A84), Raul!$A$1, ),
  IF(COUNTIF(Ricardo!$A$3:$A$5506, A84), Ricardo!$A$1, ),
  IF(COUNTIF(pixote!$A$3:$A$5506, A84), pixote!$A$1, ),
  IF(COUNTIF(Lucas!$A$3:$A$5506, A84), Lucas!$A$1, ),
  IF(COUNTIF(Will!$A$3:$A$5506, A84), Will!$A$1, )
)
</f>
        <v>Felipe</v>
      </c>
    </row>
    <row r="85" hidden="1">
      <c r="A85" s="7" t="str">
        <f>IFERROR(__xludf.DUMMYFUNCTION("""COMPUTED_VALUE"""),"Paul mccartney")</f>
        <v>Paul mccartney</v>
      </c>
      <c r="B85" s="35" t="str">
        <f>TEXTJOIN(", ", TRUE,
  IF(COUNTIF(Angela!$A$3:$A$5506, A85), Angela!$A$1, ),
  IF(COUNTIF(Rayreis!$A$3:$A$5506, A85), Rayreis!$A$1, ),
  IF(COUNTIF('Bruno bizarro'!$A$3:$A$5506, A85), 'Bruno bizarro'!$A$1, ),
  IF(COUNTIF(Bozsa!$A$3:$A$5506, A85), Bozsa!$A$1, ),
  IF(COUNTIF(Felipe!$A$3:$A$5506, A85), Felipe!$A$1, ),
  IF(COUNTIF(Luan!$A$3:$A$5506, A85), Luan!$A$1, ),
  IF(COUNTIF(Ray!$A$3:$A$5506, A85), Ray!$A$1, ),
  IF(COUNTIF(Raul!$A$3:$A$5506, A85), Raul!$A$1, ),
  IF(COUNTIF(Ricardo!$A$3:$A$5506, A85), Ricardo!$A$1, ),
  IF(COUNTIF(pixote!$A$3:$A$5506, A85), pixote!$A$1, ),
  IF(COUNTIF(Lucas!$A$3:$A$5506, A85), Lucas!$A$1, ),
  IF(COUNTIF(Will!$A$3:$A$5506, A85), Will!$A$1, )
)
</f>
        <v>Felipe</v>
      </c>
    </row>
    <row r="86" hidden="1">
      <c r="A86" s="7" t="str">
        <f>IFERROR(__xludf.DUMMYFUNCTION("""COMPUTED_VALUE"""),"Phill collin ")</f>
        <v>Phill collin </v>
      </c>
      <c r="B86" s="35" t="str">
        <f>TEXTJOIN(", ", TRUE,
  IF(COUNTIF(Angela!$A$3:$A$5506, A86), Angela!$A$1, ),
  IF(COUNTIF(Rayreis!$A$3:$A$5506, A86), Rayreis!$A$1, ),
  IF(COUNTIF('Bruno bizarro'!$A$3:$A$5506, A86), 'Bruno bizarro'!$A$1, ),
  IF(COUNTIF(Bozsa!$A$3:$A$5506, A86), Bozsa!$A$1, ),
  IF(COUNTIF(Felipe!$A$3:$A$5506, A86), Felipe!$A$1, ),
  IF(COUNTIF(Luan!$A$3:$A$5506, A86), Luan!$A$1, ),
  IF(COUNTIF(Ray!$A$3:$A$5506, A86), Ray!$A$1, ),
  IF(COUNTIF(Raul!$A$3:$A$5506, A86), Raul!$A$1, ),
  IF(COUNTIF(Ricardo!$A$3:$A$5506, A86), Ricardo!$A$1, ),
  IF(COUNTIF(pixote!$A$3:$A$5506, A86), pixote!$A$1, ),
  IF(COUNTIF(Lucas!$A$3:$A$5506, A86), Lucas!$A$1, ),
  IF(COUNTIF(Will!$A$3:$A$5506, A86), Will!$A$1, )
)
</f>
        <v>Felipe</v>
      </c>
    </row>
    <row r="87" hidden="1">
      <c r="A87" s="7" t="str">
        <f>IFERROR(__xludf.DUMMYFUNCTION("""COMPUTED_VALUE"""),"Celine dion")</f>
        <v>Celine dion</v>
      </c>
      <c r="B87" s="35" t="str">
        <f>TEXTJOIN(", ", TRUE,
  IF(COUNTIF(Angela!$A$3:$A$5506, A87), Angela!$A$1, ),
  IF(COUNTIF(Rayreis!$A$3:$A$5506, A87), Rayreis!$A$1, ),
  IF(COUNTIF('Bruno bizarro'!$A$3:$A$5506, A87), 'Bruno bizarro'!$A$1, ),
  IF(COUNTIF(Bozsa!$A$3:$A$5506, A87), Bozsa!$A$1, ),
  IF(COUNTIF(Felipe!$A$3:$A$5506, A87), Felipe!$A$1, ),
  IF(COUNTIF(Luan!$A$3:$A$5506, A87), Luan!$A$1, ),
  IF(COUNTIF(Ray!$A$3:$A$5506, A87), Ray!$A$1, ),
  IF(COUNTIF(Raul!$A$3:$A$5506, A87), Raul!$A$1, ),
  IF(COUNTIF(Ricardo!$A$3:$A$5506, A87), Ricardo!$A$1, ),
  IF(COUNTIF(pixote!$A$3:$A$5506, A87), pixote!$A$1, ),
  IF(COUNTIF(Lucas!$A$3:$A$5506, A87), Lucas!$A$1, ),
  IF(COUNTIF(Will!$A$3:$A$5506, A87), Will!$A$1, )
)
</f>
        <v>Felipe</v>
      </c>
    </row>
    <row r="88" hidden="1">
      <c r="A88" s="7" t="str">
        <f>IFERROR(__xludf.DUMMYFUNCTION("""COMPUTED_VALUE"""),"Rod stewart")</f>
        <v>Rod stewart</v>
      </c>
      <c r="B88" s="35" t="str">
        <f>TEXTJOIN(", ", TRUE,
  IF(COUNTIF(Angela!$A$3:$A$5506, A88), Angela!$A$1, ),
  IF(COUNTIF(Rayreis!$A$3:$A$5506, A88), Rayreis!$A$1, ),
  IF(COUNTIF('Bruno bizarro'!$A$3:$A$5506, A88), 'Bruno bizarro'!$A$1, ),
  IF(COUNTIF(Bozsa!$A$3:$A$5506, A88), Bozsa!$A$1, ),
  IF(COUNTIF(Felipe!$A$3:$A$5506, A88), Felipe!$A$1, ),
  IF(COUNTIF(Luan!$A$3:$A$5506, A88), Luan!$A$1, ),
  IF(COUNTIF(Ray!$A$3:$A$5506, A88), Ray!$A$1, ),
  IF(COUNTIF(Raul!$A$3:$A$5506, A88), Raul!$A$1, ),
  IF(COUNTIF(Ricardo!$A$3:$A$5506, A88), Ricardo!$A$1, ),
  IF(COUNTIF(pixote!$A$3:$A$5506, A88), pixote!$A$1, ),
  IF(COUNTIF(Lucas!$A$3:$A$5506, A88), Lucas!$A$1, ),
  IF(COUNTIF(Will!$A$3:$A$5506, A88), Will!$A$1, )
)
</f>
        <v>Felipe, RAY</v>
      </c>
    </row>
    <row r="89" hidden="1">
      <c r="A89" s="7" t="str">
        <f>IFERROR(__xludf.DUMMYFUNCTION("""COMPUTED_VALUE"""),"Roberto carlos (rei)")</f>
        <v>Roberto carlos (rei)</v>
      </c>
      <c r="B89" s="35" t="str">
        <f>TEXTJOIN(", ", TRUE,
  IF(COUNTIF(Angela!$A$3:$A$5506, A89), Angela!$A$1, ),
  IF(COUNTIF(Rayreis!$A$3:$A$5506, A89), Rayreis!$A$1, ),
  IF(COUNTIF('Bruno bizarro'!$A$3:$A$5506, A89), 'Bruno bizarro'!$A$1, ),
  IF(COUNTIF(Bozsa!$A$3:$A$5506, A89), Bozsa!$A$1, ),
  IF(COUNTIF(Felipe!$A$3:$A$5506, A89), Felipe!$A$1, ),
  IF(COUNTIF(Luan!$A$3:$A$5506, A89), Luan!$A$1, ),
  IF(COUNTIF(Ray!$A$3:$A$5506, A89), Ray!$A$1, ),
  IF(COUNTIF(Raul!$A$3:$A$5506, A89), Raul!$A$1, ),
  IF(COUNTIF(Ricardo!$A$3:$A$5506, A89), Ricardo!$A$1, ),
  IF(COUNTIF(pixote!$A$3:$A$5506, A89), pixote!$A$1, ),
  IF(COUNTIF(Lucas!$A$3:$A$5506, A89), Lucas!$A$1, ),
  IF(COUNTIF(Will!$A$3:$A$5506, A89), Will!$A$1, )
)
</f>
        <v>Felipe, RAUL (ex-Coveiro) </v>
      </c>
    </row>
    <row r="90" hidden="1">
      <c r="A90" s="7" t="str">
        <f>IFERROR(__xludf.DUMMYFUNCTION("""COMPUTED_VALUE"""),"Madonna")</f>
        <v>Madonna</v>
      </c>
      <c r="B90" s="35" t="str">
        <f>TEXTJOIN(", ", TRUE,
  IF(COUNTIF(Angela!$A$3:$A$5506, A90), Angela!$A$1, ),
  IF(COUNTIF(Rayreis!$A$3:$A$5506, A90), Rayreis!$A$1, ),
  IF(COUNTIF('Bruno bizarro'!$A$3:$A$5506, A90), 'Bruno bizarro'!$A$1, ),
  IF(COUNTIF(Bozsa!$A$3:$A$5506, A90), Bozsa!$A$1, ),
  IF(COUNTIF(Felipe!$A$3:$A$5506, A90), Felipe!$A$1, ),
  IF(COUNTIF(Luan!$A$3:$A$5506, A90), Luan!$A$1, ),
  IF(COUNTIF(Ray!$A$3:$A$5506, A90), Ray!$A$1, ),
  IF(COUNTIF(Raul!$A$3:$A$5506, A90), Raul!$A$1, ),
  IF(COUNTIF(Ricardo!$A$3:$A$5506, A90), Ricardo!$A$1, ),
  IF(COUNTIF(pixote!$A$3:$A$5506, A90), pixote!$A$1, ),
  IF(COUNTIF(Lucas!$A$3:$A$5506, A90), Lucas!$A$1, ),
  IF(COUNTIF(Will!$A$3:$A$5506, A90), Will!$A$1, )
)
</f>
        <v>Felipe</v>
      </c>
    </row>
    <row r="91" hidden="1">
      <c r="A91" s="7" t="str">
        <f>IFERROR(__xludf.DUMMYFUNCTION("""COMPUTED_VALUE"""),"Ney matogrosso")</f>
        <v>Ney matogrosso</v>
      </c>
      <c r="B91" s="35" t="str">
        <f>TEXTJOIN(", ", TRUE,
  IF(COUNTIF(Angela!$A$3:$A$5506, A91), Angela!$A$1, ),
  IF(COUNTIF(Rayreis!$A$3:$A$5506, A91), Rayreis!$A$1, ),
  IF(COUNTIF('Bruno bizarro'!$A$3:$A$5506, A91), 'Bruno bizarro'!$A$1, ),
  IF(COUNTIF(Bozsa!$A$3:$A$5506, A91), Bozsa!$A$1, ),
  IF(COUNTIF(Felipe!$A$3:$A$5506, A91), Felipe!$A$1, ),
  IF(COUNTIF(Luan!$A$3:$A$5506, A91), Luan!$A$1, ),
  IF(COUNTIF(Ray!$A$3:$A$5506, A91), Ray!$A$1, ),
  IF(COUNTIF(Raul!$A$3:$A$5506, A91), Raul!$A$1, ),
  IF(COUNTIF(Ricardo!$A$3:$A$5506, A91), Ricardo!$A$1, ),
  IF(COUNTIF(pixote!$A$3:$A$5506, A91), pixote!$A$1, ),
  IF(COUNTIF(Lucas!$A$3:$A$5506, A91), Lucas!$A$1, ),
  IF(COUNTIF(Will!$A$3:$A$5506, A91), Will!$A$1, )
)
</f>
        <v>Felipe</v>
      </c>
    </row>
    <row r="92" hidden="1">
      <c r="A92" s="7" t="str">
        <f>IFERROR(__xludf.DUMMYFUNCTION("""COMPUTED_VALUE"""),"Sérgio reis")</f>
        <v>Sérgio reis</v>
      </c>
      <c r="B92" s="35" t="str">
        <f>TEXTJOIN(", ", TRUE,
  IF(COUNTIF(Angela!$A$3:$A$5506, A92), Angela!$A$1, ),
  IF(COUNTIF(Rayreis!$A$3:$A$5506, A92), Rayreis!$A$1, ),
  IF(COUNTIF('Bruno bizarro'!$A$3:$A$5506, A92), 'Bruno bizarro'!$A$1, ),
  IF(COUNTIF(Bozsa!$A$3:$A$5506, A92), Bozsa!$A$1, ),
  IF(COUNTIF(Felipe!$A$3:$A$5506, A92), Felipe!$A$1, ),
  IF(COUNTIF(Luan!$A$3:$A$5506, A92), Luan!$A$1, ),
  IF(COUNTIF(Ray!$A$3:$A$5506, A92), Ray!$A$1, ),
  IF(COUNTIF(Raul!$A$3:$A$5506, A92), Raul!$A$1, ),
  IF(COUNTIF(Ricardo!$A$3:$A$5506, A92), Ricardo!$A$1, ),
  IF(COUNTIF(pixote!$A$3:$A$5506, A92), pixote!$A$1, ),
  IF(COUNTIF(Lucas!$A$3:$A$5506, A92), Lucas!$A$1, ),
  IF(COUNTIF(Will!$A$3:$A$5506, A92), Will!$A$1, )
)
</f>
        <v>Felipe</v>
      </c>
    </row>
    <row r="93" hidden="1">
      <c r="A93" s="7" t="str">
        <f>IFERROR(__xludf.DUMMYFUNCTION("""COMPUTED_VALUE"""),"Gustavo lima")</f>
        <v>Gustavo lima</v>
      </c>
      <c r="B93" s="35" t="str">
        <f>TEXTJOIN(", ", TRUE,
  IF(COUNTIF(Angela!$A$3:$A$5506, A93), Angela!$A$1, ),
  IF(COUNTIF(Rayreis!$A$3:$A$5506, A93), Rayreis!$A$1, ),
  IF(COUNTIF('Bruno bizarro'!$A$3:$A$5506, A93), 'Bruno bizarro'!$A$1, ),
  IF(COUNTIF(Bozsa!$A$3:$A$5506, A93), Bozsa!$A$1, ),
  IF(COUNTIF(Felipe!$A$3:$A$5506, A93), Felipe!$A$1, ),
  IF(COUNTIF(Luan!$A$3:$A$5506, A93), Luan!$A$1, ),
  IF(COUNTIF(Ray!$A$3:$A$5506, A93), Ray!$A$1, ),
  IF(COUNTIF(Raul!$A$3:$A$5506, A93), Raul!$A$1, ),
  IF(COUNTIF(Ricardo!$A$3:$A$5506, A93), Ricardo!$A$1, ),
  IF(COUNTIF(pixote!$A$3:$A$5506, A93), pixote!$A$1, ),
  IF(COUNTIF(Lucas!$A$3:$A$5506, A93), Lucas!$A$1, ),
  IF(COUNTIF(Will!$A$3:$A$5506, A93), Will!$A$1, )
)
</f>
        <v>Felipe</v>
      </c>
    </row>
    <row r="94" hidden="1">
      <c r="A94" s="7" t="str">
        <f>IFERROR(__xludf.DUMMYFUNCTION("""COMPUTED_VALUE"""),"Bolsonaro")</f>
        <v>Bolsonaro</v>
      </c>
      <c r="B94" s="35" t="str">
        <f>TEXTJOIN(", ", TRUE,
  IF(COUNTIF(Angela!$A$3:$A$5506, A94), Angela!$A$1, ),
  IF(COUNTIF(Rayreis!$A$3:$A$5506, A94), Rayreis!$A$1, ),
  IF(COUNTIF('Bruno bizarro'!$A$3:$A$5506, A94), 'Bruno bizarro'!$A$1, ),
  IF(COUNTIF(Bozsa!$A$3:$A$5506, A94), Bozsa!$A$1, ),
  IF(COUNTIF(Felipe!$A$3:$A$5506, A94), Felipe!$A$1, ),
  IF(COUNTIF(Luan!$A$3:$A$5506, A94), Luan!$A$1, ),
  IF(COUNTIF(Ray!$A$3:$A$5506, A94), Ray!$A$1, ),
  IF(COUNTIF(Raul!$A$3:$A$5506, A94), Raul!$A$1, ),
  IF(COUNTIF(Ricardo!$A$3:$A$5506, A94), Ricardo!$A$1, ),
  IF(COUNTIF(pixote!$A$3:$A$5506, A94), pixote!$A$1, ),
  IF(COUNTIF(Lucas!$A$3:$A$5506, A94), Lucas!$A$1, ),
  IF(COUNTIF(Will!$A$3:$A$5506, A94), Will!$A$1, )
)
</f>
        <v>Bruno bizarro (letra ruim), Felipe, Pixote, Lucas aleatório</v>
      </c>
    </row>
    <row r="95" hidden="1">
      <c r="A95" s="7" t="str">
        <f>IFERROR(__xludf.DUMMYFUNCTION("""COMPUTED_VALUE"""),"Moacyr franco")</f>
        <v>Moacyr franco</v>
      </c>
      <c r="B95" s="35" t="str">
        <f>TEXTJOIN(", ", TRUE,
  IF(COUNTIF(Angela!$A$3:$A$5506, A95), Angela!$A$1, ),
  IF(COUNTIF(Rayreis!$A$3:$A$5506, A95), Rayreis!$A$1, ),
  IF(COUNTIF('Bruno bizarro'!$A$3:$A$5506, A95), 'Bruno bizarro'!$A$1, ),
  IF(COUNTIF(Bozsa!$A$3:$A$5506, A95), Bozsa!$A$1, ),
  IF(COUNTIF(Felipe!$A$3:$A$5506, A95), Felipe!$A$1, ),
  IF(COUNTIF(Luan!$A$3:$A$5506, A95), Luan!$A$1, ),
  IF(COUNTIF(Ray!$A$3:$A$5506, A95), Ray!$A$1, ),
  IF(COUNTIF(Raul!$A$3:$A$5506, A95), Raul!$A$1, ),
  IF(COUNTIF(Ricardo!$A$3:$A$5506, A95), Ricardo!$A$1, ),
  IF(COUNTIF(pixote!$A$3:$A$5506, A95), pixote!$A$1, ),
  IF(COUNTIF(Lucas!$A$3:$A$5506, A95), Lucas!$A$1, ),
  IF(COUNTIF(Will!$A$3:$A$5506, A95), Will!$A$1, )
)
</f>
        <v>Felipe</v>
      </c>
    </row>
    <row r="96" hidden="1">
      <c r="A96" s="7" t="str">
        <f>IFERROR(__xludf.DUMMYFUNCTION("""COMPUTED_VALUE"""),"tony tornando")</f>
        <v>tony tornando</v>
      </c>
      <c r="B96" s="35" t="str">
        <f>TEXTJOIN(", ", TRUE,
  IF(COUNTIF(Angela!$A$3:$A$5506, A96), Angela!$A$1, ),
  IF(COUNTIF(Rayreis!$A$3:$A$5506, A96), Rayreis!$A$1, ),
  IF(COUNTIF('Bruno bizarro'!$A$3:$A$5506, A96), 'Bruno bizarro'!$A$1, ),
  IF(COUNTIF(Bozsa!$A$3:$A$5506, A96), Bozsa!$A$1, ),
  IF(COUNTIF(Felipe!$A$3:$A$5506, A96), Felipe!$A$1, ),
  IF(COUNTIF(Luan!$A$3:$A$5506, A96), Luan!$A$1, ),
  IF(COUNTIF(Ray!$A$3:$A$5506, A96), Ray!$A$1, ),
  IF(COUNTIF(Raul!$A$3:$A$5506, A96), Raul!$A$1, ),
  IF(COUNTIF(Ricardo!$A$3:$A$5506, A96), Ricardo!$A$1, ),
  IF(COUNTIF(pixote!$A$3:$A$5506, A96), pixote!$A$1, ),
  IF(COUNTIF(Lucas!$A$3:$A$5506, A96), Lucas!$A$1, ),
  IF(COUNTIF(Will!$A$3:$A$5506, A96), Will!$A$1, )
)
</f>
        <v>Luan viado</v>
      </c>
    </row>
    <row r="97" hidden="1">
      <c r="A97" s="7" t="str">
        <f>IFERROR(__xludf.DUMMYFUNCTION("""COMPUTED_VALUE"""),"nathalia tiberge")</f>
        <v>nathalia tiberge</v>
      </c>
      <c r="B97" s="35" t="str">
        <f>TEXTJOIN(", ", TRUE,
  IF(COUNTIF(Angela!$A$3:$A$5506, A97), Angela!$A$1, ),
  IF(COUNTIF(Rayreis!$A$3:$A$5506, A97), Rayreis!$A$1, ),
  IF(COUNTIF('Bruno bizarro'!$A$3:$A$5506, A97), 'Bruno bizarro'!$A$1, ),
  IF(COUNTIF(Bozsa!$A$3:$A$5506, A97), Bozsa!$A$1, ),
  IF(COUNTIF(Felipe!$A$3:$A$5506, A97), Felipe!$A$1, ),
  IF(COUNTIF(Luan!$A$3:$A$5506, A97), Luan!$A$1, ),
  IF(COUNTIF(Ray!$A$3:$A$5506, A97), Ray!$A$1, ),
  IF(COUNTIF(Raul!$A$3:$A$5506, A97), Raul!$A$1, ),
  IF(COUNTIF(Ricardo!$A$3:$A$5506, A97), Ricardo!$A$1, ),
  IF(COUNTIF(pixote!$A$3:$A$5506, A97), pixote!$A$1, ),
  IF(COUNTIF(Lucas!$A$3:$A$5506, A97), Lucas!$A$1, ),
  IF(COUNTIF(Will!$A$3:$A$5506, A97), Will!$A$1, )
)
</f>
        <v>Luan viado</v>
      </c>
    </row>
    <row r="98" hidden="1">
      <c r="A98" s="7" t="str">
        <f>IFERROR(__xludf.DUMMYFUNCTION("""COMPUTED_VALUE"""),"laura cardoso")</f>
        <v>laura cardoso</v>
      </c>
      <c r="B98" s="35" t="str">
        <f>TEXTJOIN(", ", TRUE,
  IF(COUNTIF(Angela!$A$3:$A$5506, A98), Angela!$A$1, ),
  IF(COUNTIF(Rayreis!$A$3:$A$5506, A98), Rayreis!$A$1, ),
  IF(COUNTIF('Bruno bizarro'!$A$3:$A$5506, A98), 'Bruno bizarro'!$A$1, ),
  IF(COUNTIF(Bozsa!$A$3:$A$5506, A98), Bozsa!$A$1, ),
  IF(COUNTIF(Felipe!$A$3:$A$5506, A98), Felipe!$A$1, ),
  IF(COUNTIF(Luan!$A$3:$A$5506, A98), Luan!$A$1, ),
  IF(COUNTIF(Ray!$A$3:$A$5506, A98), Ray!$A$1, ),
  IF(COUNTIF(Raul!$A$3:$A$5506, A98), Raul!$A$1, ),
  IF(COUNTIF(Ricardo!$A$3:$A$5506, A98), Ricardo!$A$1, ),
  IF(COUNTIF(pixote!$A$3:$A$5506, A98), pixote!$A$1, ),
  IF(COUNTIF(Lucas!$A$3:$A$5506, A98), Lucas!$A$1, ),
  IF(COUNTIF(Will!$A$3:$A$5506, A98), Will!$A$1, )
)
</f>
        <v>BOZSA, Felipe, Luan viado, RAY, Pixote</v>
      </c>
    </row>
    <row r="99" hidden="1">
      <c r="A99" s="7" t="str">
        <f>IFERROR(__xludf.DUMMYFUNCTION("""COMPUTED_VALUE"""),"jose arney")</f>
        <v>jose arney</v>
      </c>
      <c r="B99" s="35" t="str">
        <f>TEXTJOIN(", ", TRUE,
  IF(COUNTIF(Angela!$A$3:$A$5506, A99), Angela!$A$1, ),
  IF(COUNTIF(Rayreis!$A$3:$A$5506, A99), Rayreis!$A$1, ),
  IF(COUNTIF('Bruno bizarro'!$A$3:$A$5506, A99), 'Bruno bizarro'!$A$1, ),
  IF(COUNTIF(Bozsa!$A$3:$A$5506, A99), Bozsa!$A$1, ),
  IF(COUNTIF(Felipe!$A$3:$A$5506, A99), Felipe!$A$1, ),
  IF(COUNTIF(Luan!$A$3:$A$5506, A99), Luan!$A$1, ),
  IF(COUNTIF(Ray!$A$3:$A$5506, A99), Ray!$A$1, ),
  IF(COUNTIF(Raul!$A$3:$A$5506, A99), Raul!$A$1, ),
  IF(COUNTIF(Ricardo!$A$3:$A$5506, A99), Ricardo!$A$1, ),
  IF(COUNTIF(pixote!$A$3:$A$5506, A99), pixote!$A$1, ),
  IF(COUNTIF(Lucas!$A$3:$A$5506, A99), Lucas!$A$1, ),
  IF(COUNTIF(Will!$A$3:$A$5506, A99), Will!$A$1, )
)
</f>
        <v>Luan viado</v>
      </c>
    </row>
    <row r="100" hidden="1">
      <c r="A100" s="7" t="str">
        <f>IFERROR(__xludf.DUMMYFUNCTION("""COMPUTED_VALUE"""),"fhc")</f>
        <v>fhc</v>
      </c>
      <c r="B100" s="35" t="str">
        <f>TEXTJOIN(", ", TRUE,
  IF(COUNTIF(Angela!$A$3:$A$5506, A100), Angela!$A$1, ),
  IF(COUNTIF(Rayreis!$A$3:$A$5506, A100), Rayreis!$A$1, ),
  IF(COUNTIF('Bruno bizarro'!$A$3:$A$5506, A100), 'Bruno bizarro'!$A$1, ),
  IF(COUNTIF(Bozsa!$A$3:$A$5506, A100), Bozsa!$A$1, ),
  IF(COUNTIF(Felipe!$A$3:$A$5506, A100), Felipe!$A$1, ),
  IF(COUNTIF(Luan!$A$3:$A$5506, A100), Luan!$A$1, ),
  IF(COUNTIF(Ray!$A$3:$A$5506, A100), Ray!$A$1, ),
  IF(COUNTIF(Raul!$A$3:$A$5506, A100), Raul!$A$1, ),
  IF(COUNTIF(Ricardo!$A$3:$A$5506, A100), Ricardo!$A$1, ),
  IF(COUNTIF(pixote!$A$3:$A$5506, A100), pixote!$A$1, ),
  IF(COUNTIF(Lucas!$A$3:$A$5506, A100), Lucas!$A$1, ),
  IF(COUNTIF(Will!$A$3:$A$5506, A100), Will!$A$1, )
)
</f>
        <v>Luan viado, RAY, WILL</v>
      </c>
    </row>
    <row r="101" hidden="1">
      <c r="A101" s="7" t="str">
        <f>IFERROR(__xludf.DUMMYFUNCTION("""COMPUTED_VALUE"""),"maluf")</f>
        <v>maluf</v>
      </c>
      <c r="B101" s="35" t="str">
        <f>TEXTJOIN(", ", TRUE,
  IF(COUNTIF(Angela!$A$3:$A$5506, A101), Angela!$A$1, ),
  IF(COUNTIF(Rayreis!$A$3:$A$5506, A101), Rayreis!$A$1, ),
  IF(COUNTIF('Bruno bizarro'!$A$3:$A$5506, A101), 'Bruno bizarro'!$A$1, ),
  IF(COUNTIF(Bozsa!$A$3:$A$5506, A101), Bozsa!$A$1, ),
  IF(COUNTIF(Felipe!$A$3:$A$5506, A101), Felipe!$A$1, ),
  IF(COUNTIF(Luan!$A$3:$A$5506, A101), Luan!$A$1, ),
  IF(COUNTIF(Ray!$A$3:$A$5506, A101), Ray!$A$1, ),
  IF(COUNTIF(Raul!$A$3:$A$5506, A101), Raul!$A$1, ),
  IF(COUNTIF(Ricardo!$A$3:$A$5506, A101), Ricardo!$A$1, ),
  IF(COUNTIF(pixote!$A$3:$A$5506, A101), pixote!$A$1, ),
  IF(COUNTIF(Lucas!$A$3:$A$5506, A101), Lucas!$A$1, ),
  IF(COUNTIF(Will!$A$3:$A$5506, A101), Will!$A$1, )
)
</f>
        <v>Luan viado</v>
      </c>
    </row>
    <row r="102" hidden="1">
      <c r="A102" s="7" t="str">
        <f>IFERROR(__xludf.DUMMYFUNCTION("""COMPUTED_VALUE"""),"jose serra")</f>
        <v>jose serra</v>
      </c>
      <c r="B102" s="35" t="str">
        <f>TEXTJOIN(", ", TRUE,
  IF(COUNTIF(Angela!$A$3:$A$5506, A102), Angela!$A$1, ),
  IF(COUNTIF(Rayreis!$A$3:$A$5506, A102), Rayreis!$A$1, ),
  IF(COUNTIF('Bruno bizarro'!$A$3:$A$5506, A102), 'Bruno bizarro'!$A$1, ),
  IF(COUNTIF(Bozsa!$A$3:$A$5506, A102), Bozsa!$A$1, ),
  IF(COUNTIF(Felipe!$A$3:$A$5506, A102), Felipe!$A$1, ),
  IF(COUNTIF(Luan!$A$3:$A$5506, A102), Luan!$A$1, ),
  IF(COUNTIF(Ray!$A$3:$A$5506, A102), Ray!$A$1, ),
  IF(COUNTIF(Raul!$A$3:$A$5506, A102), Raul!$A$1, ),
  IF(COUNTIF(Ricardo!$A$3:$A$5506, A102), Ricardo!$A$1, ),
  IF(COUNTIF(pixote!$A$3:$A$5506, A102), pixote!$A$1, ),
  IF(COUNTIF(Lucas!$A$3:$A$5506, A102), Lucas!$A$1, ),
  IF(COUNTIF(Will!$A$3:$A$5506, A102), Will!$A$1, )
)
</f>
        <v>Luan viado</v>
      </c>
    </row>
    <row r="103" hidden="1">
      <c r="A103" s="7" t="str">
        <f>IFERROR(__xludf.DUMMYFUNCTION("""COMPUTED_VALUE"""),"Eduardo suplicy")</f>
        <v>Eduardo suplicy</v>
      </c>
      <c r="B103" s="35" t="str">
        <f>TEXTJOIN(", ", TRUE,
  IF(COUNTIF(Angela!$A$3:$A$5506, A103), Angela!$A$1, ),
  IF(COUNTIF(Rayreis!$A$3:$A$5506, A103), Rayreis!$A$1, ),
  IF(COUNTIF('Bruno bizarro'!$A$3:$A$5506, A103), 'Bruno bizarro'!$A$1, ),
  IF(COUNTIF(Bozsa!$A$3:$A$5506, A103), Bozsa!$A$1, ),
  IF(COUNTIF(Felipe!$A$3:$A$5506, A103), Felipe!$A$1, ),
  IF(COUNTIF(Luan!$A$3:$A$5506, A103), Luan!$A$1, ),
  IF(COUNTIF(Ray!$A$3:$A$5506, A103), Ray!$A$1, ),
  IF(COUNTIF(Raul!$A$3:$A$5506, A103), Raul!$A$1, ),
  IF(COUNTIF(Ricardo!$A$3:$A$5506, A103), Ricardo!$A$1, ),
  IF(COUNTIF(pixote!$A$3:$A$5506, A103), pixote!$A$1, ),
  IF(COUNTIF(Lucas!$A$3:$A$5506, A103), Lucas!$A$1, ),
  IF(COUNTIF(Will!$A$3:$A$5506, A103), Will!$A$1, )
)
</f>
        <v>Luan viado</v>
      </c>
    </row>
    <row r="104" hidden="1">
      <c r="A104" s="7" t="str">
        <f>IFERROR(__xludf.DUMMYFUNCTION("""COMPUTED_VALUE"""),"Gloia menezes")</f>
        <v>Gloia menezes</v>
      </c>
      <c r="B104" s="35" t="str">
        <f>TEXTJOIN(", ", TRUE,
  IF(COUNTIF(Angela!$A$3:$A$5506, A104), Angela!$A$1, ),
  IF(COUNTIF(Rayreis!$A$3:$A$5506, A104), Rayreis!$A$1, ),
  IF(COUNTIF('Bruno bizarro'!$A$3:$A$5506, A104), 'Bruno bizarro'!$A$1, ),
  IF(COUNTIF(Bozsa!$A$3:$A$5506, A104), Bozsa!$A$1, ),
  IF(COUNTIF(Felipe!$A$3:$A$5506, A104), Felipe!$A$1, ),
  IF(COUNTIF(Luan!$A$3:$A$5506, A104), Luan!$A$1, ),
  IF(COUNTIF(Ray!$A$3:$A$5506, A104), Ray!$A$1, ),
  IF(COUNTIF(Raul!$A$3:$A$5506, A104), Raul!$A$1, ),
  IF(COUNTIF(Ricardo!$A$3:$A$5506, A104), Ricardo!$A$1, ),
  IF(COUNTIF(pixote!$A$3:$A$5506, A104), pixote!$A$1, ),
  IF(COUNTIF(Lucas!$A$3:$A$5506, A104), Lucas!$A$1, ),
  IF(COUNTIF(Will!$A$3:$A$5506, A104), Will!$A$1, )
)
</f>
        <v>Luan viado</v>
      </c>
    </row>
    <row r="105" hidden="1">
      <c r="A105" s="7" t="str">
        <f>IFERROR(__xludf.DUMMYFUNCTION("""COMPUTED_VALUE"""),"lua leifert")</f>
        <v>lua leifert</v>
      </c>
      <c r="B105" s="35" t="str">
        <f>TEXTJOIN(", ", TRUE,
  IF(COUNTIF(Angela!$A$3:$A$5506, A105), Angela!$A$1, ),
  IF(COUNTIF(Rayreis!$A$3:$A$5506, A105), Rayreis!$A$1, ),
  IF(COUNTIF('Bruno bizarro'!$A$3:$A$5506, A105), 'Bruno bizarro'!$A$1, ),
  IF(COUNTIF(Bozsa!$A$3:$A$5506, A105), Bozsa!$A$1, ),
  IF(COUNTIF(Felipe!$A$3:$A$5506, A105), Felipe!$A$1, ),
  IF(COUNTIF(Luan!$A$3:$A$5506, A105), Luan!$A$1, ),
  IF(COUNTIF(Ray!$A$3:$A$5506, A105), Ray!$A$1, ),
  IF(COUNTIF(Raul!$A$3:$A$5506, A105), Raul!$A$1, ),
  IF(COUNTIF(Ricardo!$A$3:$A$5506, A105), Ricardo!$A$1, ),
  IF(COUNTIF(pixote!$A$3:$A$5506, A105), pixote!$A$1, ),
  IF(COUNTIF(Lucas!$A$3:$A$5506, A105), Lucas!$A$1, ),
  IF(COUNTIF(Will!$A$3:$A$5506, A105), Will!$A$1, )
)
</f>
        <v>Luan viado</v>
      </c>
    </row>
    <row r="106" hidden="1">
      <c r="A106" s="7" t="str">
        <f>IFERROR(__xludf.DUMMYFUNCTION("""COMPUTED_VALUE"""),"othan bastos")</f>
        <v>othan bastos</v>
      </c>
      <c r="B106" s="35" t="str">
        <f>TEXTJOIN(", ", TRUE,
  IF(COUNTIF(Angela!$A$3:$A$5506, A106), Angela!$A$1, ),
  IF(COUNTIF(Rayreis!$A$3:$A$5506, A106), Rayreis!$A$1, ),
  IF(COUNTIF('Bruno bizarro'!$A$3:$A$5506, A106), 'Bruno bizarro'!$A$1, ),
  IF(COUNTIF(Bozsa!$A$3:$A$5506, A106), Bozsa!$A$1, ),
  IF(COUNTIF(Felipe!$A$3:$A$5506, A106), Felipe!$A$1, ),
  IF(COUNTIF(Luan!$A$3:$A$5506, A106), Luan!$A$1, ),
  IF(COUNTIF(Ray!$A$3:$A$5506, A106), Ray!$A$1, ),
  IF(COUNTIF(Raul!$A$3:$A$5506, A106), Raul!$A$1, ),
  IF(COUNTIF(Ricardo!$A$3:$A$5506, A106), Ricardo!$A$1, ),
  IF(COUNTIF(pixote!$A$3:$A$5506, A106), pixote!$A$1, ),
  IF(COUNTIF(Lucas!$A$3:$A$5506, A106), Lucas!$A$1, ),
  IF(COUNTIF(Will!$A$3:$A$5506, A106), Will!$A$1, )
)
</f>
        <v>Luan viado</v>
      </c>
    </row>
    <row r="107" hidden="1">
      <c r="A107" s="7" t="str">
        <f>IFERROR(__xludf.DUMMYFUNCTION("""COMPUTED_VALUE"""),"steno garcia")</f>
        <v>steno garcia</v>
      </c>
      <c r="B107" s="35" t="str">
        <f>TEXTJOIN(", ", TRUE,
  IF(COUNTIF(Angela!$A$3:$A$5506, A107), Angela!$A$1, ),
  IF(COUNTIF(Rayreis!$A$3:$A$5506, A107), Rayreis!$A$1, ),
  IF(COUNTIF('Bruno bizarro'!$A$3:$A$5506, A107), 'Bruno bizarro'!$A$1, ),
  IF(COUNTIF(Bozsa!$A$3:$A$5506, A107), Bozsa!$A$1, ),
  IF(COUNTIF(Felipe!$A$3:$A$5506, A107), Felipe!$A$1, ),
  IF(COUNTIF(Luan!$A$3:$A$5506, A107), Luan!$A$1, ),
  IF(COUNTIF(Ray!$A$3:$A$5506, A107), Ray!$A$1, ),
  IF(COUNTIF(Raul!$A$3:$A$5506, A107), Raul!$A$1, ),
  IF(COUNTIF(Ricardo!$A$3:$A$5506, A107), Ricardo!$A$1, ),
  IF(COUNTIF(pixote!$A$3:$A$5506, A107), pixote!$A$1, ),
  IF(COUNTIF(Lucas!$A$3:$A$5506, A107), Lucas!$A$1, ),
  IF(COUNTIF(Will!$A$3:$A$5506, A107), Will!$A$1, )
)
</f>
        <v>Luan viado</v>
      </c>
    </row>
    <row r="108" hidden="1">
      <c r="A108" s="7" t="str">
        <f>IFERROR(__xludf.DUMMYFUNCTION("""COMPUTED_VALUE"""),"Roberto carlos")</f>
        <v>Roberto carlos</v>
      </c>
      <c r="B108" s="35" t="str">
        <f>TEXTJOIN(", ", TRUE,
  IF(COUNTIF(Angela!$A$3:$A$5506, A108), Angela!$A$1, ),
  IF(COUNTIF(Rayreis!$A$3:$A$5506, A108), Rayreis!$A$1, ),
  IF(COUNTIF('Bruno bizarro'!$A$3:$A$5506, A108), 'Bruno bizarro'!$A$1, ),
  IF(COUNTIF(Bozsa!$A$3:$A$5506, A108), Bozsa!$A$1, ),
  IF(COUNTIF(Felipe!$A$3:$A$5506, A108), Felipe!$A$1, ),
  IF(COUNTIF(Luan!$A$3:$A$5506, A108), Luan!$A$1, ),
  IF(COUNTIF(Ray!$A$3:$A$5506, A108), Ray!$A$1, ),
  IF(COUNTIF(Raul!$A$3:$A$5506, A108), Raul!$A$1, ),
  IF(COUNTIF(Ricardo!$A$3:$A$5506, A108), Ricardo!$A$1, ),
  IF(COUNTIF(pixote!$A$3:$A$5506, A108), pixote!$A$1, ),
  IF(COUNTIF(Lucas!$A$3:$A$5506, A108), Lucas!$A$1, ),
  IF(COUNTIF(Will!$A$3:$A$5506, A108), Will!$A$1, )
)
</f>
        <v>RAY, WILL</v>
      </c>
    </row>
    <row r="109" hidden="1">
      <c r="A109" s="7" t="str">
        <f>IFERROR(__xludf.DUMMYFUNCTION("""COMPUTED_VALUE"""),"Renan calheiras")</f>
        <v>Renan calheiras</v>
      </c>
      <c r="B109" s="35" t="str">
        <f>TEXTJOIN(", ", TRUE,
  IF(COUNTIF(Angela!$A$3:$A$5506, A109), Angela!$A$1, ),
  IF(COUNTIF(Rayreis!$A$3:$A$5506, A109), Rayreis!$A$1, ),
  IF(COUNTIF('Bruno bizarro'!$A$3:$A$5506, A109), 'Bruno bizarro'!$A$1, ),
  IF(COUNTIF(Bozsa!$A$3:$A$5506, A109), Bozsa!$A$1, ),
  IF(COUNTIF(Felipe!$A$3:$A$5506, A109), Felipe!$A$1, ),
  IF(COUNTIF(Luan!$A$3:$A$5506, A109), Luan!$A$1, ),
  IF(COUNTIF(Ray!$A$3:$A$5506, A109), Ray!$A$1, ),
  IF(COUNTIF(Raul!$A$3:$A$5506, A109), Raul!$A$1, ),
  IF(COUNTIF(Ricardo!$A$3:$A$5506, A109), Ricardo!$A$1, ),
  IF(COUNTIF(pixote!$A$3:$A$5506, A109), pixote!$A$1, ),
  IF(COUNTIF(Lucas!$A$3:$A$5506, A109), Lucas!$A$1, ),
  IF(COUNTIF(Will!$A$3:$A$5506, A109), Will!$A$1, )
)
</f>
        <v>RAY</v>
      </c>
    </row>
    <row r="110" hidden="1">
      <c r="A110" s="7" t="str">
        <f>IFERROR(__xludf.DUMMYFUNCTION("""COMPUTED_VALUE"""),"Carlos alberto")</f>
        <v>Carlos alberto</v>
      </c>
      <c r="B110" s="35" t="str">
        <f>TEXTJOIN(", ", TRUE,
  IF(COUNTIF(Angela!$A$3:$A$5506, A110), Angela!$A$1, ),
  IF(COUNTIF(Rayreis!$A$3:$A$5506, A110), Rayreis!$A$1, ),
  IF(COUNTIF('Bruno bizarro'!$A$3:$A$5506, A110), 'Bruno bizarro'!$A$1, ),
  IF(COUNTIF(Bozsa!$A$3:$A$5506, A110), Bozsa!$A$1, ),
  IF(COUNTIF(Felipe!$A$3:$A$5506, A110), Felipe!$A$1, ),
  IF(COUNTIF(Luan!$A$3:$A$5506, A110), Luan!$A$1, ),
  IF(COUNTIF(Ray!$A$3:$A$5506, A110), Ray!$A$1, ),
  IF(COUNTIF(Raul!$A$3:$A$5506, A110), Raul!$A$1, ),
  IF(COUNTIF(Ricardo!$A$3:$A$5506, A110), Ricardo!$A$1, ),
  IF(COUNTIF(pixote!$A$3:$A$5506, A110), pixote!$A$1, ),
  IF(COUNTIF(Lucas!$A$3:$A$5506, A110), Lucas!$A$1, ),
  IF(COUNTIF(Will!$A$3:$A$5506, A110), Will!$A$1, )
)
</f>
        <v>RAY, RAUL (ex-Coveiro) , Ricardo (Coveiro), WILL</v>
      </c>
    </row>
    <row r="111">
      <c r="A111" s="7" t="str">
        <f>IFERROR(__xludf.DUMMYFUNCTION("""COMPUTED_VALUE"""),"Ozzy osbourne")</f>
        <v>Ozzy osbourne</v>
      </c>
      <c r="B111" s="34" t="str">
        <f>TEXTJOIN(", ", TRUE,
  IF(COUNTIF(Angela!$A$3:$A$5506, A111), Angela!$A$1, ),
  IF(COUNTIF(Rayreis!$A$3:$A$5506, A111), Rayreis!$A$1, ),
  IF(COUNTIF('Bruno bizarro'!$A$3:$A$5506, A111), 'Bruno bizarro'!$A$1, ),
  IF(COUNTIF(Bozsa!$A$3:$A$5506, A111), Bozsa!$A$1, ),
  IF(COUNTIF(Felipe!$A$3:$A$5506, A111), Felipe!$A$1, ),
  IF(COUNTIF(Luan!$A$3:$A$5506, A111), Luan!$A$1, ),
  IF(COUNTIF(Ray!$A$3:$A$5506, A111), Ray!$A$1, ),
  IF(COUNTIF(Raul!$A$3:$A$5506, A111), Raul!$A$1, ),
  IF(COUNTIF(Ricardo!$A$3:$A$5506, A111), Ricardo!$A$1, ),
  IF(COUNTIF(pixote!$A$3:$A$5506, A111), pixote!$A$1, ),
  IF(COUNTIF(Lucas!$A$3:$A$5506, A111), Lucas!$A$1, ),
  IF(COUNTIF(Will!$A$3:$A$5506, A111), Will!$A$1, )
)
</f>
        <v>RAY, WILL</v>
      </c>
      <c r="C111" s="17" t="s">
        <v>286</v>
      </c>
    </row>
    <row r="112" hidden="1">
      <c r="A112" s="7" t="str">
        <f>IFERROR(__xludf.DUMMYFUNCTION("""COMPUTED_VALUE"""),"Monark")</f>
        <v>Monark</v>
      </c>
      <c r="B112" s="35" t="str">
        <f>TEXTJOIN(", ", TRUE,
  IF(COUNTIF(Angela!$A$3:$A$5506, A112), Angela!$A$1, ),
  IF(COUNTIF(Rayreis!$A$3:$A$5506, A112), Rayreis!$A$1, ),
  IF(COUNTIF('Bruno bizarro'!$A$3:$A$5506, A112), 'Bruno bizarro'!$A$1, ),
  IF(COUNTIF(Bozsa!$A$3:$A$5506, A112), Bozsa!$A$1, ),
  IF(COUNTIF(Felipe!$A$3:$A$5506, A112), Felipe!$A$1, ),
  IF(COUNTIF(Luan!$A$3:$A$5506, A112), Luan!$A$1, ),
  IF(COUNTIF(Ray!$A$3:$A$5506, A112), Ray!$A$1, ),
  IF(COUNTIF(Raul!$A$3:$A$5506, A112), Raul!$A$1, ),
  IF(COUNTIF(Ricardo!$A$3:$A$5506, A112), Ricardo!$A$1, ),
  IF(COUNTIF(pixote!$A$3:$A$5506, A112), pixote!$A$1, ),
  IF(COUNTIF(Lucas!$A$3:$A$5506, A112), Lucas!$A$1, ),
  IF(COUNTIF(Will!$A$3:$A$5506, A112), Will!$A$1, )
)
</f>
        <v>RAY, WILL</v>
      </c>
    </row>
    <row r="113" hidden="1">
      <c r="A113" s="7" t="str">
        <f>IFERROR(__xludf.DUMMYFUNCTION("""COMPUTED_VALUE"""),"Stenio garcia")</f>
        <v>Stenio garcia</v>
      </c>
      <c r="B113" s="35" t="str">
        <f>TEXTJOIN(", ", TRUE,
  IF(COUNTIF(Angela!$A$3:$A$5506, A113), Angela!$A$1, ),
  IF(COUNTIF(Rayreis!$A$3:$A$5506, A113), Rayreis!$A$1, ),
  IF(COUNTIF('Bruno bizarro'!$A$3:$A$5506, A113), 'Bruno bizarro'!$A$1, ),
  IF(COUNTIF(Bozsa!$A$3:$A$5506, A113), Bozsa!$A$1, ),
  IF(COUNTIF(Felipe!$A$3:$A$5506, A113), Felipe!$A$1, ),
  IF(COUNTIF(Luan!$A$3:$A$5506, A113), Luan!$A$1, ),
  IF(COUNTIF(Ray!$A$3:$A$5506, A113), Ray!$A$1, ),
  IF(COUNTIF(Raul!$A$3:$A$5506, A113), Raul!$A$1, ),
  IF(COUNTIF(Ricardo!$A$3:$A$5506, A113), Ricardo!$A$1, ),
  IF(COUNTIF(pixote!$A$3:$A$5506, A113), pixote!$A$1, ),
  IF(COUNTIF(Lucas!$A$3:$A$5506, A113), Lucas!$A$1, ),
  IF(COUNTIF(Will!$A$3:$A$5506, A113), Will!$A$1, )
)
</f>
        <v>RAY</v>
      </c>
    </row>
    <row r="114" hidden="1">
      <c r="A114" s="7" t="str">
        <f>IFERROR(__xludf.DUMMYFUNCTION("""COMPUTED_VALUE"""),"Keith Richards")</f>
        <v>Keith Richards</v>
      </c>
      <c r="B114" s="35" t="str">
        <f>TEXTJOIN(", ", TRUE,
  IF(COUNTIF(Angela!$A$3:$A$5506, A114), Angela!$A$1, ),
  IF(COUNTIF(Rayreis!$A$3:$A$5506, A114), Rayreis!$A$1, ),
  IF(COUNTIF('Bruno bizarro'!$A$3:$A$5506, A114), 'Bruno bizarro'!$A$1, ),
  IF(COUNTIF(Bozsa!$A$3:$A$5506, A114), Bozsa!$A$1, ),
  IF(COUNTIF(Felipe!$A$3:$A$5506, A114), Felipe!$A$1, ),
  IF(COUNTIF(Luan!$A$3:$A$5506, A114), Luan!$A$1, ),
  IF(COUNTIF(Ray!$A$3:$A$5506, A114), Ray!$A$1, ),
  IF(COUNTIF(Raul!$A$3:$A$5506, A114), Raul!$A$1, ),
  IF(COUNTIF(Ricardo!$A$3:$A$5506, A114), Ricardo!$A$1, ),
  IF(COUNTIF(pixote!$A$3:$A$5506, A114), pixote!$A$1, ),
  IF(COUNTIF(Lucas!$A$3:$A$5506, A114), Lucas!$A$1, ),
  IF(COUNTIF(Will!$A$3:$A$5506, A114), Will!$A$1, )
)
</f>
        <v>RAY</v>
      </c>
    </row>
    <row r="115" hidden="1">
      <c r="A115" s="7" t="str">
        <f>IFERROR(__xludf.DUMMYFUNCTION("""COMPUTED_VALUE"""),"Ben affleck")</f>
        <v>Ben affleck</v>
      </c>
      <c r="B115" s="35" t="str">
        <f>TEXTJOIN(", ", TRUE,
  IF(COUNTIF(Angela!$A$3:$A$5506, A115), Angela!$A$1, ),
  IF(COUNTIF(Rayreis!$A$3:$A$5506, A115), Rayreis!$A$1, ),
  IF(COUNTIF('Bruno bizarro'!$A$3:$A$5506, A115), 'Bruno bizarro'!$A$1, ),
  IF(COUNTIF(Bozsa!$A$3:$A$5506, A115), Bozsa!$A$1, ),
  IF(COUNTIF(Felipe!$A$3:$A$5506, A115), Felipe!$A$1, ),
  IF(COUNTIF(Luan!$A$3:$A$5506, A115), Luan!$A$1, ),
  IF(COUNTIF(Ray!$A$3:$A$5506, A115), Ray!$A$1, ),
  IF(COUNTIF(Raul!$A$3:$A$5506, A115), Raul!$A$1, ),
  IF(COUNTIF(Ricardo!$A$3:$A$5506, A115), Ricardo!$A$1, ),
  IF(COUNTIF(pixote!$A$3:$A$5506, A115), pixote!$A$1, ),
  IF(COUNTIF(Lucas!$A$3:$A$5506, A115), Lucas!$A$1, ),
  IF(COUNTIF(Will!$A$3:$A$5506, A115), Will!$A$1, )
)
</f>
        <v>RAY</v>
      </c>
    </row>
    <row r="116" hidden="1">
      <c r="A116" s="7" t="str">
        <f>IFERROR(__xludf.DUMMYFUNCTION("""COMPUTED_VALUE"""),"Isabel veloso")</f>
        <v>Isabel veloso</v>
      </c>
      <c r="B116" s="35" t="str">
        <f>TEXTJOIN(", ", TRUE,
  IF(COUNTIF(Angela!$A$3:$A$5506, A116), Angela!$A$1, ),
  IF(COUNTIF(Rayreis!$A$3:$A$5506, A116), Rayreis!$A$1, ),
  IF(COUNTIF('Bruno bizarro'!$A$3:$A$5506, A116), 'Bruno bizarro'!$A$1, ),
  IF(COUNTIF(Bozsa!$A$3:$A$5506, A116), Bozsa!$A$1, ),
  IF(COUNTIF(Felipe!$A$3:$A$5506, A116), Felipe!$A$1, ),
  IF(COUNTIF(Luan!$A$3:$A$5506, A116), Luan!$A$1, ),
  IF(COUNTIF(Ray!$A$3:$A$5506, A116), Ray!$A$1, ),
  IF(COUNTIF(Raul!$A$3:$A$5506, A116), Raul!$A$1, ),
  IF(COUNTIF(Ricardo!$A$3:$A$5506, A116), Ricardo!$A$1, ),
  IF(COUNTIF(pixote!$A$3:$A$5506, A116), pixote!$A$1, ),
  IF(COUNTIF(Lucas!$A$3:$A$5506, A116), Lucas!$A$1, ),
  IF(COUNTIF(Will!$A$3:$A$5506, A116), Will!$A$1, )
)
</f>
        <v>RAY, Ricardo (Coveiro), WILL</v>
      </c>
    </row>
    <row r="117" hidden="1">
      <c r="A117" s="7" t="str">
        <f>IFERROR(__xludf.DUMMYFUNCTION("""COMPUTED_VALUE"""),"FHC")</f>
        <v>FHC</v>
      </c>
      <c r="B117" s="35" t="str">
        <f>TEXTJOIN(", ", TRUE,
  IF(COUNTIF(Angela!$A$3:$A$5506, A117), Angela!$A$1, ),
  IF(COUNTIF(Rayreis!$A$3:$A$5506, A117), Rayreis!$A$1, ),
  IF(COUNTIF('Bruno bizarro'!$A$3:$A$5506, A117), 'Bruno bizarro'!$A$1, ),
  IF(COUNTIF(Bozsa!$A$3:$A$5506, A117), Bozsa!$A$1, ),
  IF(COUNTIF(Felipe!$A$3:$A$5506, A117), Felipe!$A$1, ),
  IF(COUNTIF(Luan!$A$3:$A$5506, A117), Luan!$A$1, ),
  IF(COUNTIF(Ray!$A$3:$A$5506, A117), Ray!$A$1, ),
  IF(COUNTIF(Raul!$A$3:$A$5506, A117), Raul!$A$1, ),
  IF(COUNTIF(Ricardo!$A$3:$A$5506, A117), Ricardo!$A$1, ),
  IF(COUNTIF(pixote!$A$3:$A$5506, A117), pixote!$A$1, ),
  IF(COUNTIF(Lucas!$A$3:$A$5506, A117), Lucas!$A$1, ),
  IF(COUNTIF(Will!$A$3:$A$5506, A117), Will!$A$1, )
)
</f>
        <v>Luan viado, RAY, WILL</v>
      </c>
    </row>
    <row r="118" hidden="1">
      <c r="A118" s="7" t="str">
        <f>IFERROR(__xludf.DUMMYFUNCTION("""COMPUTED_VALUE"""),"Morgan freeman")</f>
        <v>Morgan freeman</v>
      </c>
      <c r="B118" s="35" t="str">
        <f>TEXTJOIN(", ", TRUE,
  IF(COUNTIF(Angela!$A$3:$A$5506, A118), Angela!$A$1, ),
  IF(COUNTIF(Rayreis!$A$3:$A$5506, A118), Rayreis!$A$1, ),
  IF(COUNTIF('Bruno bizarro'!$A$3:$A$5506, A118), 'Bruno bizarro'!$A$1, ),
  IF(COUNTIF(Bozsa!$A$3:$A$5506, A118), Bozsa!$A$1, ),
  IF(COUNTIF(Felipe!$A$3:$A$5506, A118), Felipe!$A$1, ),
  IF(COUNTIF(Luan!$A$3:$A$5506, A118), Luan!$A$1, ),
  IF(COUNTIF(Ray!$A$3:$A$5506, A118), Ray!$A$1, ),
  IF(COUNTIF(Raul!$A$3:$A$5506, A118), Raul!$A$1, ),
  IF(COUNTIF(Ricardo!$A$3:$A$5506, A118), Ricardo!$A$1, ),
  IF(COUNTIF(pixote!$A$3:$A$5506, A118), pixote!$A$1, ),
  IF(COUNTIF(Lucas!$A$3:$A$5506, A118), Lucas!$A$1, ),
  IF(COUNTIF(Will!$A$3:$A$5506, A118), Will!$A$1, )
)
</f>
        <v>RAY</v>
      </c>
    </row>
    <row r="119" hidden="1">
      <c r="A119" s="7" t="str">
        <f>IFERROR(__xludf.DUMMYFUNCTION("""COMPUTED_VALUE"""),"sergio reis")</f>
        <v>sergio reis</v>
      </c>
      <c r="B119" s="35" t="str">
        <f>TEXTJOIN(", ", TRUE,
  IF(COUNTIF(Angela!$A$3:$A$5506, A119), Angela!$A$1, ),
  IF(COUNTIF(Rayreis!$A$3:$A$5506, A119), Rayreis!$A$1, ),
  IF(COUNTIF('Bruno bizarro'!$A$3:$A$5506, A119), 'Bruno bizarro'!$A$1, ),
  IF(COUNTIF(Bozsa!$A$3:$A$5506, A119), Bozsa!$A$1, ),
  IF(COUNTIF(Felipe!$A$3:$A$5506, A119), Felipe!$A$1, ),
  IF(COUNTIF(Luan!$A$3:$A$5506, A119), Luan!$A$1, ),
  IF(COUNTIF(Ray!$A$3:$A$5506, A119), Ray!$A$1, ),
  IF(COUNTIF(Raul!$A$3:$A$5506, A119), Raul!$A$1, ),
  IF(COUNTIF(Ricardo!$A$3:$A$5506, A119), Ricardo!$A$1, ),
  IF(COUNTIF(pixote!$A$3:$A$5506, A119), pixote!$A$1, ),
  IF(COUNTIF(Lucas!$A$3:$A$5506, A119), Lucas!$A$1, ),
  IF(COUNTIF(Will!$A$3:$A$5506, A119), Will!$A$1, )
)
</f>
        <v>RAY, RAUL (ex-Coveiro) , Ricardo (Coveiro)</v>
      </c>
    </row>
    <row r="120" hidden="1">
      <c r="A120" s="7" t="str">
        <f>IFERROR(__xludf.DUMMYFUNCTION("""COMPUTED_VALUE"""),"rod stewart")</f>
        <v>rod stewart</v>
      </c>
      <c r="B120" s="35" t="str">
        <f>TEXTJOIN(", ", TRUE,
  IF(COUNTIF(Angela!$A$3:$A$5506, A120), Angela!$A$1, ),
  IF(COUNTIF(Rayreis!$A$3:$A$5506, A120), Rayreis!$A$1, ),
  IF(COUNTIF('Bruno bizarro'!$A$3:$A$5506, A120), 'Bruno bizarro'!$A$1, ),
  IF(COUNTIF(Bozsa!$A$3:$A$5506, A120), Bozsa!$A$1, ),
  IF(COUNTIF(Felipe!$A$3:$A$5506, A120), Felipe!$A$1, ),
  IF(COUNTIF(Luan!$A$3:$A$5506, A120), Luan!$A$1, ),
  IF(COUNTIF(Ray!$A$3:$A$5506, A120), Ray!$A$1, ),
  IF(COUNTIF(Raul!$A$3:$A$5506, A120), Raul!$A$1, ),
  IF(COUNTIF(Ricardo!$A$3:$A$5506, A120), Ricardo!$A$1, ),
  IF(COUNTIF(pixote!$A$3:$A$5506, A120), pixote!$A$1, ),
  IF(COUNTIF(Lucas!$A$3:$A$5506, A120), Lucas!$A$1, ),
  IF(COUNTIF(Will!$A$3:$A$5506, A120), Will!$A$1, )
)
</f>
        <v>Felipe, RAY</v>
      </c>
    </row>
    <row r="121" hidden="1">
      <c r="A121" s="7" t="str">
        <f>IFERROR(__xludf.DUMMYFUNCTION("""COMPUTED_VALUE"""),"sophia loren")</f>
        <v>sophia loren</v>
      </c>
      <c r="B121" s="35" t="str">
        <f>TEXTJOIN(", ", TRUE,
  IF(COUNTIF(Angela!$A$3:$A$5506, A121), Angela!$A$1, ),
  IF(COUNTIF(Rayreis!$A$3:$A$5506, A121), Rayreis!$A$1, ),
  IF(COUNTIF('Bruno bizarro'!$A$3:$A$5506, A121), 'Bruno bizarro'!$A$1, ),
  IF(COUNTIF(Bozsa!$A$3:$A$5506, A121), Bozsa!$A$1, ),
  IF(COUNTIF(Felipe!$A$3:$A$5506, A121), Felipe!$A$1, ),
  IF(COUNTIF(Luan!$A$3:$A$5506, A121), Luan!$A$1, ),
  IF(COUNTIF(Ray!$A$3:$A$5506, A121), Ray!$A$1, ),
  IF(COUNTIF(Raul!$A$3:$A$5506, A121), Raul!$A$1, ),
  IF(COUNTIF(Ricardo!$A$3:$A$5506, A121), Ricardo!$A$1, ),
  IF(COUNTIF(pixote!$A$3:$A$5506, A121), pixote!$A$1, ),
  IF(COUNTIF(Lucas!$A$3:$A$5506, A121), Lucas!$A$1, ),
  IF(COUNTIF(Will!$A$3:$A$5506, A121), Will!$A$1, )
)
</f>
        <v>RAY</v>
      </c>
    </row>
    <row r="122" hidden="1">
      <c r="A122" s="7" t="str">
        <f>IFERROR(__xludf.DUMMYFUNCTION("""COMPUTED_VALUE"""),"gloria menezes")</f>
        <v>gloria menezes</v>
      </c>
      <c r="B122" s="35" t="str">
        <f>TEXTJOIN(", ", TRUE,
  IF(COUNTIF(Angela!$A$3:$A$5506, A122), Angela!$A$1, ),
  IF(COUNTIF(Rayreis!$A$3:$A$5506, A122), Rayreis!$A$1, ),
  IF(COUNTIF('Bruno bizarro'!$A$3:$A$5506, A122), 'Bruno bizarro'!$A$1, ),
  IF(COUNTIF(Bozsa!$A$3:$A$5506, A122), Bozsa!$A$1, ),
  IF(COUNTIF(Felipe!$A$3:$A$5506, A122), Felipe!$A$1, ),
  IF(COUNTIF(Luan!$A$3:$A$5506, A122), Luan!$A$1, ),
  IF(COUNTIF(Ray!$A$3:$A$5506, A122), Ray!$A$1, ),
  IF(COUNTIF(Raul!$A$3:$A$5506, A122), Raul!$A$1, ),
  IF(COUNTIF(Ricardo!$A$3:$A$5506, A122), Ricardo!$A$1, ),
  IF(COUNTIF(pixote!$A$3:$A$5506, A122), pixote!$A$1, ),
  IF(COUNTIF(Lucas!$A$3:$A$5506, A122), Lucas!$A$1, ),
  IF(COUNTIF(Will!$A$3:$A$5506, A122), Will!$A$1, )
)
</f>
        <v>Ray satanista, BOZSA, RAY, WILL</v>
      </c>
    </row>
    <row r="123" hidden="1">
      <c r="A123" s="7" t="str">
        <f>IFERROR(__xludf.DUMMYFUNCTION("""COMPUTED_VALUE"""),"M schumacker")</f>
        <v>M schumacker</v>
      </c>
      <c r="B123" s="35" t="str">
        <f>TEXTJOIN(", ", TRUE,
  IF(COUNTIF(Angela!$A$3:$A$5506, A123), Angela!$A$1, ),
  IF(COUNTIF(Rayreis!$A$3:$A$5506, A123), Rayreis!$A$1, ),
  IF(COUNTIF('Bruno bizarro'!$A$3:$A$5506, A123), 'Bruno bizarro'!$A$1, ),
  IF(COUNTIF(Bozsa!$A$3:$A$5506, A123), Bozsa!$A$1, ),
  IF(COUNTIF(Felipe!$A$3:$A$5506, A123), Felipe!$A$1, ),
  IF(COUNTIF(Luan!$A$3:$A$5506, A123), Luan!$A$1, ),
  IF(COUNTIF(Ray!$A$3:$A$5506, A123), Ray!$A$1, ),
  IF(COUNTIF(Raul!$A$3:$A$5506, A123), Raul!$A$1, ),
  IF(COUNTIF(Ricardo!$A$3:$A$5506, A123), Ricardo!$A$1, ),
  IF(COUNTIF(pixote!$A$3:$A$5506, A123), pixote!$A$1, ),
  IF(COUNTIF(Lucas!$A$3:$A$5506, A123), Lucas!$A$1, ),
  IF(COUNTIF(Will!$A$3:$A$5506, A123), Will!$A$1, )
)
</f>
        <v>RAUL (ex-Coveiro) </v>
      </c>
    </row>
    <row r="124" hidden="1">
      <c r="A124" s="7" t="str">
        <f>IFERROR(__xludf.DUMMYFUNCTION("""COMPUTED_VALUE"""),"Tom cruise")</f>
        <v>Tom cruise</v>
      </c>
      <c r="B124" s="35" t="str">
        <f>TEXTJOIN(", ", TRUE,
  IF(COUNTIF(Angela!$A$3:$A$5506, A124), Angela!$A$1, ),
  IF(COUNTIF(Rayreis!$A$3:$A$5506, A124), Rayreis!$A$1, ),
  IF(COUNTIF('Bruno bizarro'!$A$3:$A$5506, A124), 'Bruno bizarro'!$A$1, ),
  IF(COUNTIF(Bozsa!$A$3:$A$5506, A124), Bozsa!$A$1, ),
  IF(COUNTIF(Felipe!$A$3:$A$5506, A124), Felipe!$A$1, ),
  IF(COUNTIF(Luan!$A$3:$A$5506, A124), Luan!$A$1, ),
  IF(COUNTIF(Ray!$A$3:$A$5506, A124), Ray!$A$1, ),
  IF(COUNTIF(Raul!$A$3:$A$5506, A124), Raul!$A$1, ),
  IF(COUNTIF(Ricardo!$A$3:$A$5506, A124), Ricardo!$A$1, ),
  IF(COUNTIF(pixote!$A$3:$A$5506, A124), pixote!$A$1, ),
  IF(COUNTIF(Lucas!$A$3:$A$5506, A124), Lucas!$A$1, ),
  IF(COUNTIF(Will!$A$3:$A$5506, A124), Will!$A$1, )
)
</f>
        <v>RAUL (ex-Coveiro) </v>
      </c>
    </row>
    <row r="125" hidden="1">
      <c r="A125" s="7" t="str">
        <f>IFERROR(__xludf.DUMMYFUNCTION("""COMPUTED_VALUE"""),"Bruce willis")</f>
        <v>Bruce willis</v>
      </c>
      <c r="B125" s="35" t="str">
        <f>TEXTJOIN(", ", TRUE,
  IF(COUNTIF(Angela!$A$3:$A$5506, A125), Angela!$A$1, ),
  IF(COUNTIF(Rayreis!$A$3:$A$5506, A125), Rayreis!$A$1, ),
  IF(COUNTIF('Bruno bizarro'!$A$3:$A$5506, A125), 'Bruno bizarro'!$A$1, ),
  IF(COUNTIF(Bozsa!$A$3:$A$5506, A125), Bozsa!$A$1, ),
  IF(COUNTIF(Felipe!$A$3:$A$5506, A125), Felipe!$A$1, ),
  IF(COUNTIF(Luan!$A$3:$A$5506, A125), Luan!$A$1, ),
  IF(COUNTIF(Ray!$A$3:$A$5506, A125), Ray!$A$1, ),
  IF(COUNTIF(Raul!$A$3:$A$5506, A125), Raul!$A$1, ),
  IF(COUNTIF(Ricardo!$A$3:$A$5506, A125), Ricardo!$A$1, ),
  IF(COUNTIF(pixote!$A$3:$A$5506, A125), pixote!$A$1, ),
  IF(COUNTIF(Lucas!$A$3:$A$5506, A125), Lucas!$A$1, ),
  IF(COUNTIF(Will!$A$3:$A$5506, A125), Will!$A$1, )
)
</f>
        <v>Bruno bizarro (letra ruim), RAUL (ex-Coveiro) , Pixote</v>
      </c>
    </row>
    <row r="126" hidden="1">
      <c r="A126" s="7" t="str">
        <f>IFERROR(__xludf.DUMMYFUNCTION("""COMPUTED_VALUE"""),"Bonner")</f>
        <v>Bonner</v>
      </c>
      <c r="B126" s="35" t="str">
        <f>TEXTJOIN(", ", TRUE,
  IF(COUNTIF(Angela!$A$3:$A$5506, A126), Angela!$A$1, ),
  IF(COUNTIF(Rayreis!$A$3:$A$5506, A126), Rayreis!$A$1, ),
  IF(COUNTIF('Bruno bizarro'!$A$3:$A$5506, A126), 'Bruno bizarro'!$A$1, ),
  IF(COUNTIF(Bozsa!$A$3:$A$5506, A126), Bozsa!$A$1, ),
  IF(COUNTIF(Felipe!$A$3:$A$5506, A126), Felipe!$A$1, ),
  IF(COUNTIF(Luan!$A$3:$A$5506, A126), Luan!$A$1, ),
  IF(COUNTIF(Ray!$A$3:$A$5506, A126), Ray!$A$1, ),
  IF(COUNTIF(Raul!$A$3:$A$5506, A126), Raul!$A$1, ),
  IF(COUNTIF(Ricardo!$A$3:$A$5506, A126), Ricardo!$A$1, ),
  IF(COUNTIF(pixote!$A$3:$A$5506, A126), pixote!$A$1, ),
  IF(COUNTIF(Lucas!$A$3:$A$5506, A126), Lucas!$A$1, ),
  IF(COUNTIF(Will!$A$3:$A$5506, A126), Will!$A$1, )
)
</f>
        <v>RAUL (ex-Coveiro) </v>
      </c>
    </row>
    <row r="127" hidden="1">
      <c r="A127" s="7" t="str">
        <f>IFERROR(__xludf.DUMMYFUNCTION("""COMPUTED_VALUE"""),"Didi")</f>
        <v>Didi</v>
      </c>
      <c r="B127" s="35" t="str">
        <f>TEXTJOIN(", ", TRUE,
  IF(COUNTIF(Angela!$A$3:$A$5506, A127), Angela!$A$1, ),
  IF(COUNTIF(Rayreis!$A$3:$A$5506, A127), Rayreis!$A$1, ),
  IF(COUNTIF('Bruno bizarro'!$A$3:$A$5506, A127), 'Bruno bizarro'!$A$1, ),
  IF(COUNTIF(Bozsa!$A$3:$A$5506, A127), Bozsa!$A$1, ),
  IF(COUNTIF(Felipe!$A$3:$A$5506, A127), Felipe!$A$1, ),
  IF(COUNTIF(Luan!$A$3:$A$5506, A127), Luan!$A$1, ),
  IF(COUNTIF(Ray!$A$3:$A$5506, A127), Ray!$A$1, ),
  IF(COUNTIF(Raul!$A$3:$A$5506, A127), Raul!$A$1, ),
  IF(COUNTIF(Ricardo!$A$3:$A$5506, A127), Ricardo!$A$1, ),
  IF(COUNTIF(pixote!$A$3:$A$5506, A127), pixote!$A$1, ),
  IF(COUNTIF(Lucas!$A$3:$A$5506, A127), Lucas!$A$1, ),
  IF(COUNTIF(Will!$A$3:$A$5506, A127), Will!$A$1, )
)
</f>
        <v>Ray satanista, RAUL (ex-Coveiro) </v>
      </c>
    </row>
    <row r="128" hidden="1">
      <c r="A128" s="7" t="str">
        <f>IFERROR(__xludf.DUMMYFUNCTION("""COMPUTED_VALUE"""),"Bruno do marrone")</f>
        <v>Bruno do marrone</v>
      </c>
      <c r="B128" s="35" t="str">
        <f>TEXTJOIN(", ", TRUE,
  IF(COUNTIF(Angela!$A$3:$A$5506, A128), Angela!$A$1, ),
  IF(COUNTIF(Rayreis!$A$3:$A$5506, A128), Rayreis!$A$1, ),
  IF(COUNTIF('Bruno bizarro'!$A$3:$A$5506, A128), 'Bruno bizarro'!$A$1, ),
  IF(COUNTIF(Bozsa!$A$3:$A$5506, A128), Bozsa!$A$1, ),
  IF(COUNTIF(Felipe!$A$3:$A$5506, A128), Felipe!$A$1, ),
  IF(COUNTIF(Luan!$A$3:$A$5506, A128), Luan!$A$1, ),
  IF(COUNTIF(Ray!$A$3:$A$5506, A128), Ray!$A$1, ),
  IF(COUNTIF(Raul!$A$3:$A$5506, A128), Raul!$A$1, ),
  IF(COUNTIF(Ricardo!$A$3:$A$5506, A128), Ricardo!$A$1, ),
  IF(COUNTIF(pixote!$A$3:$A$5506, A128), pixote!$A$1, ),
  IF(COUNTIF(Lucas!$A$3:$A$5506, A128), Lucas!$A$1, ),
  IF(COUNTIF(Will!$A$3:$A$5506, A128), Will!$A$1, )
)
</f>
        <v>RAUL (ex-Coveiro) </v>
      </c>
    </row>
    <row r="129" hidden="1">
      <c r="A129" s="7" t="str">
        <f>IFERROR(__xludf.DUMMYFUNCTION("""COMPUTED_VALUE"""),"Paul maccartney")</f>
        <v>Paul maccartney</v>
      </c>
      <c r="B129" s="35" t="str">
        <f>TEXTJOIN(", ", TRUE,
  IF(COUNTIF(Angela!$A$3:$A$5506, A129), Angela!$A$1, ),
  IF(COUNTIF(Rayreis!$A$3:$A$5506, A129), Rayreis!$A$1, ),
  IF(COUNTIF('Bruno bizarro'!$A$3:$A$5506, A129), 'Bruno bizarro'!$A$1, ),
  IF(COUNTIF(Bozsa!$A$3:$A$5506, A129), Bozsa!$A$1, ),
  IF(COUNTIF(Felipe!$A$3:$A$5506, A129), Felipe!$A$1, ),
  IF(COUNTIF(Luan!$A$3:$A$5506, A129), Luan!$A$1, ),
  IF(COUNTIF(Ray!$A$3:$A$5506, A129), Ray!$A$1, ),
  IF(COUNTIF(Raul!$A$3:$A$5506, A129), Raul!$A$1, ),
  IF(COUNTIF(Ricardo!$A$3:$A$5506, A129), Ricardo!$A$1, ),
  IF(COUNTIF(pixote!$A$3:$A$5506, A129), pixote!$A$1, ),
  IF(COUNTIF(Lucas!$A$3:$A$5506, A129), Lucas!$A$1, ),
  IF(COUNTIF(Will!$A$3:$A$5506, A129), Will!$A$1, )
)
</f>
        <v>RAUL (ex-Coveiro) </v>
      </c>
    </row>
    <row r="130" hidden="1">
      <c r="A130" s="7" t="str">
        <f>IFERROR(__xludf.DUMMYFUNCTION("""COMPUTED_VALUE"""),"Sergio reis")</f>
        <v>Sergio reis</v>
      </c>
      <c r="B130" s="35" t="str">
        <f>TEXTJOIN(", ", TRUE,
  IF(COUNTIF(Angela!$A$3:$A$5506, A130), Angela!$A$1, ),
  IF(COUNTIF(Rayreis!$A$3:$A$5506, A130), Rayreis!$A$1, ),
  IF(COUNTIF('Bruno bizarro'!$A$3:$A$5506, A130), 'Bruno bizarro'!$A$1, ),
  IF(COUNTIF(Bozsa!$A$3:$A$5506, A130), Bozsa!$A$1, ),
  IF(COUNTIF(Felipe!$A$3:$A$5506, A130), Felipe!$A$1, ),
  IF(COUNTIF(Luan!$A$3:$A$5506, A130), Luan!$A$1, ),
  IF(COUNTIF(Ray!$A$3:$A$5506, A130), Ray!$A$1, ),
  IF(COUNTIF(Raul!$A$3:$A$5506, A130), Raul!$A$1, ),
  IF(COUNTIF(Ricardo!$A$3:$A$5506, A130), Ricardo!$A$1, ),
  IF(COUNTIF(pixote!$A$3:$A$5506, A130), pixote!$A$1, ),
  IF(COUNTIF(Lucas!$A$3:$A$5506, A130), Lucas!$A$1, ),
  IF(COUNTIF(Will!$A$3:$A$5506, A130), Will!$A$1, )
)
</f>
        <v>RAY, RAUL (ex-Coveiro) , Ricardo (Coveiro)</v>
      </c>
    </row>
    <row r="131" hidden="1">
      <c r="A131" s="7" t="str">
        <f>IFERROR(__xludf.DUMMYFUNCTION("""COMPUTED_VALUE"""),"Faustão")</f>
        <v>Faustão</v>
      </c>
      <c r="B131" s="35" t="str">
        <f>TEXTJOIN(", ", TRUE,
  IF(COUNTIF(Angela!$A$3:$A$5506, A131), Angela!$A$1, ),
  IF(COUNTIF(Rayreis!$A$3:$A$5506, A131), Rayreis!$A$1, ),
  IF(COUNTIF('Bruno bizarro'!$A$3:$A$5506, A131), 'Bruno bizarro'!$A$1, ),
  IF(COUNTIF(Bozsa!$A$3:$A$5506, A131), Bozsa!$A$1, ),
  IF(COUNTIF(Felipe!$A$3:$A$5506, A131), Felipe!$A$1, ),
  IF(COUNTIF(Luan!$A$3:$A$5506, A131), Luan!$A$1, ),
  IF(COUNTIF(Ray!$A$3:$A$5506, A131), Ray!$A$1, ),
  IF(COUNTIF(Raul!$A$3:$A$5506, A131), Raul!$A$1, ),
  IF(COUNTIF(Ricardo!$A$3:$A$5506, A131), Ricardo!$A$1, ),
  IF(COUNTIF(pixote!$A$3:$A$5506, A131), pixote!$A$1, ),
  IF(COUNTIF(Lucas!$A$3:$A$5506, A131), Lucas!$A$1, ),
  IF(COUNTIF(Will!$A$3:$A$5506, A131), Will!$A$1, )
)
</f>
        <v>Ray satanista, RAUL (ex-Coveiro) , Ricardo (Coveiro), Pixote</v>
      </c>
    </row>
    <row r="132" hidden="1">
      <c r="A132" s="7" t="str">
        <f>IFERROR(__xludf.DUMMYFUNCTION("""COMPUTED_VALUE"""),"Susana vieira")</f>
        <v>Susana vieira</v>
      </c>
      <c r="B132" s="35" t="str">
        <f>TEXTJOIN(", ", TRUE,
  IF(COUNTIF(Angela!$A$3:$A$5506, A132), Angela!$A$1, ),
  IF(COUNTIF(Rayreis!$A$3:$A$5506, A132), Rayreis!$A$1, ),
  IF(COUNTIF('Bruno bizarro'!$A$3:$A$5506, A132), 'Bruno bizarro'!$A$1, ),
  IF(COUNTIF(Bozsa!$A$3:$A$5506, A132), Bozsa!$A$1, ),
  IF(COUNTIF(Felipe!$A$3:$A$5506, A132), Felipe!$A$1, ),
  IF(COUNTIF(Luan!$A$3:$A$5506, A132), Luan!$A$1, ),
  IF(COUNTIF(Ray!$A$3:$A$5506, A132), Ray!$A$1, ),
  IF(COUNTIF(Raul!$A$3:$A$5506, A132), Raul!$A$1, ),
  IF(COUNTIF(Ricardo!$A$3:$A$5506, A132), Ricardo!$A$1, ),
  IF(COUNTIF(pixote!$A$3:$A$5506, A132), pixote!$A$1, ),
  IF(COUNTIF(Lucas!$A$3:$A$5506, A132), Lucas!$A$1, ),
  IF(COUNTIF(Will!$A$3:$A$5506, A132), Will!$A$1, )
)
</f>
        <v>RAUL (ex-Coveiro) </v>
      </c>
    </row>
    <row r="133" hidden="1">
      <c r="A133" s="7" t="str">
        <f>IFERROR(__xludf.DUMMYFUNCTION("""COMPUTED_VALUE"""),"Ana maria braga")</f>
        <v>Ana maria braga</v>
      </c>
      <c r="B133" s="35" t="str">
        <f>TEXTJOIN(", ", TRUE,
  IF(COUNTIF(Angela!$A$3:$A$5506, A133), Angela!$A$1, ),
  IF(COUNTIF(Rayreis!$A$3:$A$5506, A133), Rayreis!$A$1, ),
  IF(COUNTIF('Bruno bizarro'!$A$3:$A$5506, A133), 'Bruno bizarro'!$A$1, ),
  IF(COUNTIF(Bozsa!$A$3:$A$5506, A133), Bozsa!$A$1, ),
  IF(COUNTIF(Felipe!$A$3:$A$5506, A133), Felipe!$A$1, ),
  IF(COUNTIF(Luan!$A$3:$A$5506, A133), Luan!$A$1, ),
  IF(COUNTIF(Ray!$A$3:$A$5506, A133), Ray!$A$1, ),
  IF(COUNTIF(Raul!$A$3:$A$5506, A133), Raul!$A$1, ),
  IF(COUNTIF(Ricardo!$A$3:$A$5506, A133), Ricardo!$A$1, ),
  IF(COUNTIF(pixote!$A$3:$A$5506, A133), pixote!$A$1, ),
  IF(COUNTIF(Lucas!$A$3:$A$5506, A133), Lucas!$A$1, ),
  IF(COUNTIF(Will!$A$3:$A$5506, A133), Will!$A$1, )
)
</f>
        <v>RAUL (ex-Coveiro) </v>
      </c>
    </row>
    <row r="134" hidden="1">
      <c r="A134" s="7" t="str">
        <f>IFERROR(__xludf.DUMMYFUNCTION("""COMPUTED_VALUE"""),"Emilio surita")</f>
        <v>Emilio surita</v>
      </c>
      <c r="B134" s="35" t="str">
        <f>TEXTJOIN(", ", TRUE,
  IF(COUNTIF(Angela!$A$3:$A$5506, A134), Angela!$A$1, ),
  IF(COUNTIF(Rayreis!$A$3:$A$5506, A134), Rayreis!$A$1, ),
  IF(COUNTIF('Bruno bizarro'!$A$3:$A$5506, A134), 'Bruno bizarro'!$A$1, ),
  IF(COUNTIF(Bozsa!$A$3:$A$5506, A134), Bozsa!$A$1, ),
  IF(COUNTIF(Felipe!$A$3:$A$5506, A134), Felipe!$A$1, ),
  IF(COUNTIF(Luan!$A$3:$A$5506, A134), Luan!$A$1, ),
  IF(COUNTIF(Ray!$A$3:$A$5506, A134), Ray!$A$1, ),
  IF(COUNTIF(Raul!$A$3:$A$5506, A134), Raul!$A$1, ),
  IF(COUNTIF(Ricardo!$A$3:$A$5506, A134), Ricardo!$A$1, ),
  IF(COUNTIF(pixote!$A$3:$A$5506, A134), pixote!$A$1, ),
  IF(COUNTIF(Lucas!$A$3:$A$5506, A134), Lucas!$A$1, ),
  IF(COUNTIF(Will!$A$3:$A$5506, A134), Will!$A$1, )
)
</f>
        <v>RAUL (ex-Coveiro) </v>
      </c>
    </row>
    <row r="135" hidden="1">
      <c r="A135" s="7" t="str">
        <f>IFERROR(__xludf.DUMMYFUNCTION("""COMPUTED_VALUE"""),"Casa grande")</f>
        <v>Casa grande</v>
      </c>
      <c r="B135" s="35" t="str">
        <f>TEXTJOIN(", ", TRUE,
  IF(COUNTIF(Angela!$A$3:$A$5506, A135), Angela!$A$1, ),
  IF(COUNTIF(Rayreis!$A$3:$A$5506, A135), Rayreis!$A$1, ),
  IF(COUNTIF('Bruno bizarro'!$A$3:$A$5506, A135), 'Bruno bizarro'!$A$1, ),
  IF(COUNTIF(Bozsa!$A$3:$A$5506, A135), Bozsa!$A$1, ),
  IF(COUNTIF(Felipe!$A$3:$A$5506, A135), Felipe!$A$1, ),
  IF(COUNTIF(Luan!$A$3:$A$5506, A135), Luan!$A$1, ),
  IF(COUNTIF(Ray!$A$3:$A$5506, A135), Ray!$A$1, ),
  IF(COUNTIF(Raul!$A$3:$A$5506, A135), Raul!$A$1, ),
  IF(COUNTIF(Ricardo!$A$3:$A$5506, A135), Ricardo!$A$1, ),
  IF(COUNTIF(pixote!$A$3:$A$5506, A135), pixote!$A$1, ),
  IF(COUNTIF(Lucas!$A$3:$A$5506, A135), Lucas!$A$1, ),
  IF(COUNTIF(Will!$A$3:$A$5506, A135), Will!$A$1, )
)
</f>
        <v>RAUL (ex-Coveiro) </v>
      </c>
    </row>
    <row r="136" hidden="1">
      <c r="A136" s="7" t="str">
        <f>IFERROR(__xludf.DUMMYFUNCTION("""COMPUTED_VALUE"""),"Michael schumacker")</f>
        <v>Michael schumacker</v>
      </c>
      <c r="B136" s="35" t="str">
        <f>TEXTJOIN(", ", TRUE,
  IF(COUNTIF(Angela!$A$3:$A$5506, A136), Angela!$A$1, ),
  IF(COUNTIF(Rayreis!$A$3:$A$5506, A136), Rayreis!$A$1, ),
  IF(COUNTIF('Bruno bizarro'!$A$3:$A$5506, A136), 'Bruno bizarro'!$A$1, ),
  IF(COUNTIF(Bozsa!$A$3:$A$5506, A136), Bozsa!$A$1, ),
  IF(COUNTIF(Felipe!$A$3:$A$5506, A136), Felipe!$A$1, ),
  IF(COUNTIF(Luan!$A$3:$A$5506, A136), Luan!$A$1, ),
  IF(COUNTIF(Ray!$A$3:$A$5506, A136), Ray!$A$1, ),
  IF(COUNTIF(Raul!$A$3:$A$5506, A136), Raul!$A$1, ),
  IF(COUNTIF(Ricardo!$A$3:$A$5506, A136), Ricardo!$A$1, ),
  IF(COUNTIF(pixote!$A$3:$A$5506, A136), pixote!$A$1, ),
  IF(COUNTIF(Lucas!$A$3:$A$5506, A136), Lucas!$A$1, ),
  IF(COUNTIF(Will!$A$3:$A$5506, A136), Will!$A$1, )
)
</f>
        <v>Ricardo (Coveiro)</v>
      </c>
    </row>
    <row r="137" hidden="1">
      <c r="A137" s="7" t="str">
        <f>IFERROR(__xludf.DUMMYFUNCTION("""COMPUTED_VALUE"""),"boris casoy")</f>
        <v>boris casoy</v>
      </c>
      <c r="B137" s="35" t="str">
        <f>TEXTJOIN(", ", TRUE,
  IF(COUNTIF(Angela!$A$3:$A$5506, A137), Angela!$A$1, ),
  IF(COUNTIF(Rayreis!$A$3:$A$5506, A137), Rayreis!$A$1, ),
  IF(COUNTIF('Bruno bizarro'!$A$3:$A$5506, A137), 'Bruno bizarro'!$A$1, ),
  IF(COUNTIF(Bozsa!$A$3:$A$5506, A137), Bozsa!$A$1, ),
  IF(COUNTIF(Felipe!$A$3:$A$5506, A137), Felipe!$A$1, ),
  IF(COUNTIF(Luan!$A$3:$A$5506, A137), Luan!$A$1, ),
  IF(COUNTIF(Ray!$A$3:$A$5506, A137), Ray!$A$1, ),
  IF(COUNTIF(Raul!$A$3:$A$5506, A137), Raul!$A$1, ),
  IF(COUNTIF(Ricardo!$A$3:$A$5506, A137), Ricardo!$A$1, ),
  IF(COUNTIF(pixote!$A$3:$A$5506, A137), pixote!$A$1, ),
  IF(COUNTIF(Lucas!$A$3:$A$5506, A137), Lucas!$A$1, ),
  IF(COUNTIF(Will!$A$3:$A$5506, A137), Will!$A$1, )
)
</f>
        <v>Ricardo (Coveiro)</v>
      </c>
    </row>
    <row r="138" hidden="1">
      <c r="A138" s="7" t="str">
        <f>IFERROR(__xludf.DUMMYFUNCTION("""COMPUTED_VALUE"""),"claudia rodrigues")</f>
        <v>claudia rodrigues</v>
      </c>
      <c r="B138" s="35" t="str">
        <f>TEXTJOIN(", ", TRUE,
  IF(COUNTIF(Angela!$A$3:$A$5506, A138), Angela!$A$1, ),
  IF(COUNTIF(Rayreis!$A$3:$A$5506, A138), Rayreis!$A$1, ),
  IF(COUNTIF('Bruno bizarro'!$A$3:$A$5506, A138), 'Bruno bizarro'!$A$1, ),
  IF(COUNTIF(Bozsa!$A$3:$A$5506, A138), Bozsa!$A$1, ),
  IF(COUNTIF(Felipe!$A$3:$A$5506, A138), Felipe!$A$1, ),
  IF(COUNTIF(Luan!$A$3:$A$5506, A138), Luan!$A$1, ),
  IF(COUNTIF(Ray!$A$3:$A$5506, A138), Ray!$A$1, ),
  IF(COUNTIF(Raul!$A$3:$A$5506, A138), Raul!$A$1, ),
  IF(COUNTIF(Ricardo!$A$3:$A$5506, A138), Ricardo!$A$1, ),
  IF(COUNTIF(pixote!$A$3:$A$5506, A138), pixote!$A$1, ),
  IF(COUNTIF(Lucas!$A$3:$A$5506, A138), Lucas!$A$1, ),
  IF(COUNTIF(Will!$A$3:$A$5506, A138), Will!$A$1, )
)
</f>
        <v>BOZSA, Ricardo (Coveiro)</v>
      </c>
    </row>
    <row r="139" hidden="1">
      <c r="A139" s="7" t="str">
        <f>IFERROR(__xludf.DUMMYFUNCTION("""COMPUTED_VALUE"""),"marcos oliveira")</f>
        <v>marcos oliveira</v>
      </c>
      <c r="B139" s="35" t="str">
        <f>TEXTJOIN(", ", TRUE,
  IF(COUNTIF(Angela!$A$3:$A$5506, A139), Angela!$A$1, ),
  IF(COUNTIF(Rayreis!$A$3:$A$5506, A139), Rayreis!$A$1, ),
  IF(COUNTIF('Bruno bizarro'!$A$3:$A$5506, A139), 'Bruno bizarro'!$A$1, ),
  IF(COUNTIF(Bozsa!$A$3:$A$5506, A139), Bozsa!$A$1, ),
  IF(COUNTIF(Felipe!$A$3:$A$5506, A139), Felipe!$A$1, ),
  IF(COUNTIF(Luan!$A$3:$A$5506, A139), Luan!$A$1, ),
  IF(COUNTIF(Ray!$A$3:$A$5506, A139), Ray!$A$1, ),
  IF(COUNTIF(Raul!$A$3:$A$5506, A139), Raul!$A$1, ),
  IF(COUNTIF(Ricardo!$A$3:$A$5506, A139), Ricardo!$A$1, ),
  IF(COUNTIF(pixote!$A$3:$A$5506, A139), pixote!$A$1, ),
  IF(COUNTIF(Lucas!$A$3:$A$5506, A139), Lucas!$A$1, ),
  IF(COUNTIF(Will!$A$3:$A$5506, A139), Will!$A$1, )
)
</f>
        <v>Ricardo (Coveiro)</v>
      </c>
    </row>
    <row r="140" hidden="1">
      <c r="A140" s="7" t="str">
        <f>IFERROR(__xludf.DUMMYFUNCTION("""COMPUTED_VALUE"""),"tony tornado")</f>
        <v>tony tornado</v>
      </c>
      <c r="B140" s="35" t="str">
        <f>TEXTJOIN(", ", TRUE,
  IF(COUNTIF(Angela!$A$3:$A$5506, A140), Angela!$A$1, ),
  IF(COUNTIF(Rayreis!$A$3:$A$5506, A140), Rayreis!$A$1, ),
  IF(COUNTIF('Bruno bizarro'!$A$3:$A$5506, A140), 'Bruno bizarro'!$A$1, ),
  IF(COUNTIF(Bozsa!$A$3:$A$5506, A140), Bozsa!$A$1, ),
  IF(COUNTIF(Felipe!$A$3:$A$5506, A140), Felipe!$A$1, ),
  IF(COUNTIF(Luan!$A$3:$A$5506, A140), Luan!$A$1, ),
  IF(COUNTIF(Ray!$A$3:$A$5506, A140), Ray!$A$1, ),
  IF(COUNTIF(Raul!$A$3:$A$5506, A140), Raul!$A$1, ),
  IF(COUNTIF(Ricardo!$A$3:$A$5506, A140), Ricardo!$A$1, ),
  IF(COUNTIF(pixote!$A$3:$A$5506, A140), pixote!$A$1, ),
  IF(COUNTIF(Lucas!$A$3:$A$5506, A140), Lucas!$A$1, ),
  IF(COUNTIF(Will!$A$3:$A$5506, A140), Will!$A$1, )
)
</f>
        <v>ANGELA, Ricardo (Coveiro)</v>
      </c>
    </row>
    <row r="141" hidden="1">
      <c r="A141" s="7" t="str">
        <f>IFERROR(__xludf.DUMMYFUNCTION("""COMPUTED_VALUE"""),"Datena")</f>
        <v>Datena</v>
      </c>
      <c r="B141" s="35" t="str">
        <f>TEXTJOIN(", ", TRUE,
  IF(COUNTIF(Angela!$A$3:$A$5506, A141), Angela!$A$1, ),
  IF(COUNTIF(Rayreis!$A$3:$A$5506, A141), Rayreis!$A$1, ),
  IF(COUNTIF('Bruno bizarro'!$A$3:$A$5506, A141), 'Bruno bizarro'!$A$1, ),
  IF(COUNTIF(Bozsa!$A$3:$A$5506, A141), Bozsa!$A$1, ),
  IF(COUNTIF(Felipe!$A$3:$A$5506, A141), Felipe!$A$1, ),
  IF(COUNTIF(Luan!$A$3:$A$5506, A141), Luan!$A$1, ),
  IF(COUNTIF(Ray!$A$3:$A$5506, A141), Ray!$A$1, ),
  IF(COUNTIF(Raul!$A$3:$A$5506, A141), Raul!$A$1, ),
  IF(COUNTIF(Ricardo!$A$3:$A$5506, A141), Ricardo!$A$1, ),
  IF(COUNTIF(pixote!$A$3:$A$5506, A141), pixote!$A$1, ),
  IF(COUNTIF(Lucas!$A$3:$A$5506, A141), Lucas!$A$1, ),
  IF(COUNTIF(Will!$A$3:$A$5506, A141), Will!$A$1, )
)
</f>
        <v>Ricardo (Coveiro)</v>
      </c>
    </row>
    <row r="142" hidden="1">
      <c r="A142" s="7" t="str">
        <f>IFERROR(__xludf.DUMMYFUNCTION("""COMPUTED_VALUE"""),"Calminha")</f>
        <v>Calminha</v>
      </c>
      <c r="B142" s="35" t="str">
        <f>TEXTJOIN(", ", TRUE,
  IF(COUNTIF(Angela!$A$3:$A$5506, A142), Angela!$A$1, ),
  IF(COUNTIF(Rayreis!$A$3:$A$5506, A142), Rayreis!$A$1, ),
  IF(COUNTIF('Bruno bizarro'!$A$3:$A$5506, A142), 'Bruno bizarro'!$A$1, ),
  IF(COUNTIF(Bozsa!$A$3:$A$5506, A142), Bozsa!$A$1, ),
  IF(COUNTIF(Felipe!$A$3:$A$5506, A142), Felipe!$A$1, ),
  IF(COUNTIF(Luan!$A$3:$A$5506, A142), Luan!$A$1, ),
  IF(COUNTIF(Ray!$A$3:$A$5506, A142), Ray!$A$1, ),
  IF(COUNTIF(Raul!$A$3:$A$5506, A142), Raul!$A$1, ),
  IF(COUNTIF(Ricardo!$A$3:$A$5506, A142), Ricardo!$A$1, ),
  IF(COUNTIF(pixote!$A$3:$A$5506, A142), pixote!$A$1, ),
  IF(COUNTIF(Lucas!$A$3:$A$5506, A142), Lucas!$A$1, ),
  IF(COUNTIF(Will!$A$3:$A$5506, A142), Will!$A$1, )
)
</f>
        <v>Ricardo (Coveiro)</v>
      </c>
    </row>
    <row r="143" hidden="1">
      <c r="A143" s="7" t="str">
        <f>IFERROR(__xludf.DUMMYFUNCTION("""COMPUTED_VALUE"""),"Nino abavanel")</f>
        <v>Nino abavanel</v>
      </c>
      <c r="B143" s="35" t="str">
        <f>TEXTJOIN(", ", TRUE,
  IF(COUNTIF(Angela!$A$3:$A$5506, A143), Angela!$A$1, ),
  IF(COUNTIF(Rayreis!$A$3:$A$5506, A143), Rayreis!$A$1, ),
  IF(COUNTIF('Bruno bizarro'!$A$3:$A$5506, A143), 'Bruno bizarro'!$A$1, ),
  IF(COUNTIF(Bozsa!$A$3:$A$5506, A143), Bozsa!$A$1, ),
  IF(COUNTIF(Felipe!$A$3:$A$5506, A143), Felipe!$A$1, ),
  IF(COUNTIF(Luan!$A$3:$A$5506, A143), Luan!$A$1, ),
  IF(COUNTIF(Ray!$A$3:$A$5506, A143), Ray!$A$1, ),
  IF(COUNTIF(Raul!$A$3:$A$5506, A143), Raul!$A$1, ),
  IF(COUNTIF(Ricardo!$A$3:$A$5506, A143), Ricardo!$A$1, ),
  IF(COUNTIF(pixote!$A$3:$A$5506, A143), pixote!$A$1, ),
  IF(COUNTIF(Lucas!$A$3:$A$5506, A143), Lucas!$A$1, ),
  IF(COUNTIF(Will!$A$3:$A$5506, A143), Will!$A$1, )
)
</f>
        <v>Ricardo (Coveiro)</v>
      </c>
    </row>
    <row r="144" hidden="1">
      <c r="A144" s="7" t="str">
        <f>IFERROR(__xludf.DUMMYFUNCTION("""COMPUTED_VALUE"""),"mama bruschetta")</f>
        <v>mama bruschetta</v>
      </c>
      <c r="B144" s="35" t="str">
        <f>TEXTJOIN(", ", TRUE,
  IF(COUNTIF(Angela!$A$3:$A$5506, A144), Angela!$A$1, ),
  IF(COUNTIF(Rayreis!$A$3:$A$5506, A144), Rayreis!$A$1, ),
  IF(COUNTIF('Bruno bizarro'!$A$3:$A$5506, A144), 'Bruno bizarro'!$A$1, ),
  IF(COUNTIF(Bozsa!$A$3:$A$5506, A144), Bozsa!$A$1, ),
  IF(COUNTIF(Felipe!$A$3:$A$5506, A144), Felipe!$A$1, ),
  IF(COUNTIF(Luan!$A$3:$A$5506, A144), Luan!$A$1, ),
  IF(COUNTIF(Ray!$A$3:$A$5506, A144), Ray!$A$1, ),
  IF(COUNTIF(Raul!$A$3:$A$5506, A144), Raul!$A$1, ),
  IF(COUNTIF(Ricardo!$A$3:$A$5506, A144), Ricardo!$A$1, ),
  IF(COUNTIF(pixote!$A$3:$A$5506, A144), pixote!$A$1, ),
  IF(COUNTIF(Lucas!$A$3:$A$5506, A144), Lucas!$A$1, ),
  IF(COUNTIF(Will!$A$3:$A$5506, A144), Will!$A$1, )
)
</f>
        <v>ANGELA, RAY, Ricardo (Coveiro)</v>
      </c>
    </row>
    <row r="145" hidden="1">
      <c r="A145" s="7" t="str">
        <f>IFERROR(__xludf.DUMMYFUNCTION("""COMPUTED_VALUE"""),"tjairzinho")</f>
        <v>tjairzinho</v>
      </c>
      <c r="B145" s="35" t="str">
        <f>TEXTJOIN(", ", TRUE,
  IF(COUNTIF(Angela!$A$3:$A$5506, A145), Angela!$A$1, ),
  IF(COUNTIF(Rayreis!$A$3:$A$5506, A145), Rayreis!$A$1, ),
  IF(COUNTIF('Bruno bizarro'!$A$3:$A$5506, A145), 'Bruno bizarro'!$A$1, ),
  IF(COUNTIF(Bozsa!$A$3:$A$5506, A145), Bozsa!$A$1, ),
  IF(COUNTIF(Felipe!$A$3:$A$5506, A145), Felipe!$A$1, ),
  IF(COUNTIF(Luan!$A$3:$A$5506, A145), Luan!$A$1, ),
  IF(COUNTIF(Ray!$A$3:$A$5506, A145), Ray!$A$1, ),
  IF(COUNTIF(Raul!$A$3:$A$5506, A145), Raul!$A$1, ),
  IF(COUNTIF(Ricardo!$A$3:$A$5506, A145), Ricardo!$A$1, ),
  IF(COUNTIF(pixote!$A$3:$A$5506, A145), pixote!$A$1, ),
  IF(COUNTIF(Lucas!$A$3:$A$5506, A145), Lucas!$A$1, ),
  IF(COUNTIF(Will!$A$3:$A$5506, A145), Will!$A$1, )
)
</f>
        <v>Ricardo (Coveiro)</v>
      </c>
    </row>
    <row r="146" hidden="1">
      <c r="A146" s="7" t="str">
        <f>IFERROR(__xludf.DUMMYFUNCTION("""COMPUTED_VALUE"""),"yoshino togashi")</f>
        <v>yoshino togashi</v>
      </c>
      <c r="B146" s="35" t="str">
        <f>TEXTJOIN(", ", TRUE,
  IF(COUNTIF(Angela!$A$3:$A$5506, A146), Angela!$A$1, ),
  IF(COUNTIF(Rayreis!$A$3:$A$5506, A146), Rayreis!$A$1, ),
  IF(COUNTIF('Bruno bizarro'!$A$3:$A$5506, A146), 'Bruno bizarro'!$A$1, ),
  IF(COUNTIF(Bozsa!$A$3:$A$5506, A146), Bozsa!$A$1, ),
  IF(COUNTIF(Felipe!$A$3:$A$5506, A146), Felipe!$A$1, ),
  IF(COUNTIF(Luan!$A$3:$A$5506, A146), Luan!$A$1, ),
  IF(COUNTIF(Ray!$A$3:$A$5506, A146), Ray!$A$1, ),
  IF(COUNTIF(Raul!$A$3:$A$5506, A146), Raul!$A$1, ),
  IF(COUNTIF(Ricardo!$A$3:$A$5506, A146), Ricardo!$A$1, ),
  IF(COUNTIF(pixote!$A$3:$A$5506, A146), pixote!$A$1, ),
  IF(COUNTIF(Lucas!$A$3:$A$5506, A146), Lucas!$A$1, ),
  IF(COUNTIF(Will!$A$3:$A$5506, A146), Will!$A$1, )
)
</f>
        <v>Ricardo (Coveiro)</v>
      </c>
    </row>
    <row r="147" hidden="1">
      <c r="A147" s="7" t="str">
        <f>IFERROR(__xludf.DUMMYFUNCTION("""COMPUTED_VALUE"""),"Milionário do josé rico")</f>
        <v>Milionário do josé rico</v>
      </c>
      <c r="B147" s="35" t="str">
        <f>TEXTJOIN(", ", TRUE,
  IF(COUNTIF(Angela!$A$3:$A$5506, A147), Angela!$A$1, ),
  IF(COUNTIF(Rayreis!$A$3:$A$5506, A147), Rayreis!$A$1, ),
  IF(COUNTIF('Bruno bizarro'!$A$3:$A$5506, A147), 'Bruno bizarro'!$A$1, ),
  IF(COUNTIF(Bozsa!$A$3:$A$5506, A147), Bozsa!$A$1, ),
  IF(COUNTIF(Felipe!$A$3:$A$5506, A147), Felipe!$A$1, ),
  IF(COUNTIF(Luan!$A$3:$A$5506, A147), Luan!$A$1, ),
  IF(COUNTIF(Ray!$A$3:$A$5506, A147), Ray!$A$1, ),
  IF(COUNTIF(Raul!$A$3:$A$5506, A147), Raul!$A$1, ),
  IF(COUNTIF(Ricardo!$A$3:$A$5506, A147), Ricardo!$A$1, ),
  IF(COUNTIF(pixote!$A$3:$A$5506, A147), pixote!$A$1, ),
  IF(COUNTIF(Lucas!$A$3:$A$5506, A147), Lucas!$A$1, ),
  IF(COUNTIF(Will!$A$3:$A$5506, A147), Will!$A$1, )
)
</f>
        <v>Ricardo (Coveiro)</v>
      </c>
    </row>
    <row r="148" hidden="1">
      <c r="A148" s="7" t="str">
        <f>IFERROR(__xludf.DUMMYFUNCTION("""COMPUTED_VALUE"""),"Suzana vieira")</f>
        <v>Suzana vieira</v>
      </c>
      <c r="B148" s="35" t="str">
        <f>TEXTJOIN(", ", TRUE,
  IF(COUNTIF(Angela!$A$3:$A$5506, A148), Angela!$A$1, ),
  IF(COUNTIF(Rayreis!$A$3:$A$5506, A148), Rayreis!$A$1, ),
  IF(COUNTIF('Bruno bizarro'!$A$3:$A$5506, A148), 'Bruno bizarro'!$A$1, ),
  IF(COUNTIF(Bozsa!$A$3:$A$5506, A148), Bozsa!$A$1, ),
  IF(COUNTIF(Felipe!$A$3:$A$5506, A148), Felipe!$A$1, ),
  IF(COUNTIF(Luan!$A$3:$A$5506, A148), Luan!$A$1, ),
  IF(COUNTIF(Ray!$A$3:$A$5506, A148), Ray!$A$1, ),
  IF(COUNTIF(Raul!$A$3:$A$5506, A148), Raul!$A$1, ),
  IF(COUNTIF(Ricardo!$A$3:$A$5506, A148), Ricardo!$A$1, ),
  IF(COUNTIF(pixote!$A$3:$A$5506, A148), pixote!$A$1, ),
  IF(COUNTIF(Lucas!$A$3:$A$5506, A148), Lucas!$A$1, ),
  IF(COUNTIF(Will!$A$3:$A$5506, A148), Will!$A$1, )
)
</f>
        <v>Pixote</v>
      </c>
    </row>
    <row r="149" hidden="1">
      <c r="A149" s="7" t="str">
        <f>IFERROR(__xludf.DUMMYFUNCTION("""COMPUTED_VALUE"""),"simony")</f>
        <v>simony</v>
      </c>
      <c r="B149" s="35" t="str">
        <f>TEXTJOIN(", ", TRUE,
  IF(COUNTIF(Angela!$A$3:$A$5506, A149), Angela!$A$1, ),
  IF(COUNTIF(Rayreis!$A$3:$A$5506, A149), Rayreis!$A$1, ),
  IF(COUNTIF('Bruno bizarro'!$A$3:$A$5506, A149), 'Bruno bizarro'!$A$1, ),
  IF(COUNTIF(Bozsa!$A$3:$A$5506, A149), Bozsa!$A$1, ),
  IF(COUNTIF(Felipe!$A$3:$A$5506, A149), Felipe!$A$1, ),
  IF(COUNTIF(Luan!$A$3:$A$5506, A149), Luan!$A$1, ),
  IF(COUNTIF(Ray!$A$3:$A$5506, A149), Ray!$A$1, ),
  IF(COUNTIF(Raul!$A$3:$A$5506, A149), Raul!$A$1, ),
  IF(COUNTIF(Ricardo!$A$3:$A$5506, A149), Ricardo!$A$1, ),
  IF(COUNTIF(pixote!$A$3:$A$5506, A149), pixote!$A$1, ),
  IF(COUNTIF(Lucas!$A$3:$A$5506, A149), Lucas!$A$1, ),
  IF(COUNTIF(Will!$A$3:$A$5506, A149), Will!$A$1, )
)
</f>
        <v>Pixote</v>
      </c>
    </row>
    <row r="150" hidden="1">
      <c r="A150" s="7" t="str">
        <f>IFERROR(__xludf.DUMMYFUNCTION("""COMPUTED_VALUE"""),"mauricio kubrosly")</f>
        <v>mauricio kubrosly</v>
      </c>
      <c r="B150" s="35" t="str">
        <f>TEXTJOIN(", ", TRUE,
  IF(COUNTIF(Angela!$A$3:$A$5506, A150), Angela!$A$1, ),
  IF(COUNTIF(Rayreis!$A$3:$A$5506, A150), Rayreis!$A$1, ),
  IF(COUNTIF('Bruno bizarro'!$A$3:$A$5506, A150), 'Bruno bizarro'!$A$1, ),
  IF(COUNTIF(Bozsa!$A$3:$A$5506, A150), Bozsa!$A$1, ),
  IF(COUNTIF(Felipe!$A$3:$A$5506, A150), Felipe!$A$1, ),
  IF(COUNTIF(Luan!$A$3:$A$5506, A150), Luan!$A$1, ),
  IF(COUNTIF(Ray!$A$3:$A$5506, A150), Ray!$A$1, ),
  IF(COUNTIF(Raul!$A$3:$A$5506, A150), Raul!$A$1, ),
  IF(COUNTIF(Ricardo!$A$3:$A$5506, A150), Ricardo!$A$1, ),
  IF(COUNTIF(pixote!$A$3:$A$5506, A150), pixote!$A$1, ),
  IF(COUNTIF(Lucas!$A$3:$A$5506, A150), Lucas!$A$1, ),
  IF(COUNTIF(Will!$A$3:$A$5506, A150), Will!$A$1, )
)
</f>
        <v>Pixote</v>
      </c>
    </row>
    <row r="151" hidden="1">
      <c r="A151" s="7" t="str">
        <f>IFERROR(__xludf.DUMMYFUNCTION("""COMPUTED_VALUE"""),"fernanda monte negro")</f>
        <v>fernanda monte negro</v>
      </c>
      <c r="B151" s="35" t="str">
        <f>TEXTJOIN(", ", TRUE,
  IF(COUNTIF(Angela!$A$3:$A$5506, A151), Angela!$A$1, ),
  IF(COUNTIF(Rayreis!$A$3:$A$5506, A151), Rayreis!$A$1, ),
  IF(COUNTIF('Bruno bizarro'!$A$3:$A$5506, A151), 'Bruno bizarro'!$A$1, ),
  IF(COUNTIF(Bozsa!$A$3:$A$5506, A151), Bozsa!$A$1, ),
  IF(COUNTIF(Felipe!$A$3:$A$5506, A151), Felipe!$A$1, ),
  IF(COUNTIF(Luan!$A$3:$A$5506, A151), Luan!$A$1, ),
  IF(COUNTIF(Ray!$A$3:$A$5506, A151), Ray!$A$1, ),
  IF(COUNTIF(Raul!$A$3:$A$5506, A151), Raul!$A$1, ),
  IF(COUNTIF(Ricardo!$A$3:$A$5506, A151), Ricardo!$A$1, ),
  IF(COUNTIF(pixote!$A$3:$A$5506, A151), pixote!$A$1, ),
  IF(COUNTIF(Lucas!$A$3:$A$5506, A151), Lucas!$A$1, ),
  IF(COUNTIF(Will!$A$3:$A$5506, A151), Will!$A$1, )
)
</f>
        <v>Pixote</v>
      </c>
    </row>
    <row r="152" hidden="1">
      <c r="A152" s="7" t="str">
        <f>IFERROR(__xludf.DUMMYFUNCTION("""COMPUTED_VALUE"""),"thais carla")</f>
        <v>thais carla</v>
      </c>
      <c r="B152" s="35" t="str">
        <f>TEXTJOIN(", ", TRUE,
  IF(COUNTIF(Angela!$A$3:$A$5506, A152), Angela!$A$1, ),
  IF(COUNTIF(Rayreis!$A$3:$A$5506, A152), Rayreis!$A$1, ),
  IF(COUNTIF('Bruno bizarro'!$A$3:$A$5506, A152), 'Bruno bizarro'!$A$1, ),
  IF(COUNTIF(Bozsa!$A$3:$A$5506, A152), Bozsa!$A$1, ),
  IF(COUNTIF(Felipe!$A$3:$A$5506, A152), Felipe!$A$1, ),
  IF(COUNTIF(Luan!$A$3:$A$5506, A152), Luan!$A$1, ),
  IF(COUNTIF(Ray!$A$3:$A$5506, A152), Ray!$A$1, ),
  IF(COUNTIF(Raul!$A$3:$A$5506, A152), Raul!$A$1, ),
  IF(COUNTIF(Ricardo!$A$3:$A$5506, A152), Ricardo!$A$1, ),
  IF(COUNTIF(pixote!$A$3:$A$5506, A152), pixote!$A$1, ),
  IF(COUNTIF(Lucas!$A$3:$A$5506, A152), Lucas!$A$1, ),
  IF(COUNTIF(Will!$A$3:$A$5506, A152), Will!$A$1, )
)
</f>
        <v>BOZSA, Pixote</v>
      </c>
    </row>
    <row r="153" hidden="1">
      <c r="A153" s="7" t="str">
        <f>IFERROR(__xludf.DUMMYFUNCTION("""COMPUTED_VALUE"""),"kabrinha")</f>
        <v>kabrinha</v>
      </c>
      <c r="B153" s="35" t="str">
        <f>TEXTJOIN(", ", TRUE,
  IF(COUNTIF(Angela!$A$3:$A$5506, A153), Angela!$A$1, ),
  IF(COUNTIF(Rayreis!$A$3:$A$5506, A153), Rayreis!$A$1, ),
  IF(COUNTIF('Bruno bizarro'!$A$3:$A$5506, A153), 'Bruno bizarro'!$A$1, ),
  IF(COUNTIF(Bozsa!$A$3:$A$5506, A153), Bozsa!$A$1, ),
  IF(COUNTIF(Felipe!$A$3:$A$5506, A153), Felipe!$A$1, ),
  IF(COUNTIF(Luan!$A$3:$A$5506, A153), Luan!$A$1, ),
  IF(COUNTIF(Ray!$A$3:$A$5506, A153), Ray!$A$1, ),
  IF(COUNTIF(Raul!$A$3:$A$5506, A153), Raul!$A$1, ),
  IF(COUNTIF(Ricardo!$A$3:$A$5506, A153), Ricardo!$A$1, ),
  IF(COUNTIF(pixote!$A$3:$A$5506, A153), pixote!$A$1, ),
  IF(COUNTIF(Lucas!$A$3:$A$5506, A153), Lucas!$A$1, ),
  IF(COUNTIF(Will!$A$3:$A$5506, A153), Will!$A$1, )
)
</f>
        <v>Pixote</v>
      </c>
    </row>
    <row r="154" hidden="1">
      <c r="A154" s="7" t="str">
        <f>IFERROR(__xludf.DUMMYFUNCTION("""COMPUTED_VALUE"""),"elton john")</f>
        <v>elton john</v>
      </c>
      <c r="B154" s="35" t="str">
        <f>TEXTJOIN(", ", TRUE,
  IF(COUNTIF(Angela!$A$3:$A$5506, A154), Angela!$A$1, ),
  IF(COUNTIF(Rayreis!$A$3:$A$5506, A154), Rayreis!$A$1, ),
  IF(COUNTIF('Bruno bizarro'!$A$3:$A$5506, A154), 'Bruno bizarro'!$A$1, ),
  IF(COUNTIF(Bozsa!$A$3:$A$5506, A154), Bozsa!$A$1, ),
  IF(COUNTIF(Felipe!$A$3:$A$5506, A154), Felipe!$A$1, ),
  IF(COUNTIF(Luan!$A$3:$A$5506, A154), Luan!$A$1, ),
  IF(COUNTIF(Ray!$A$3:$A$5506, A154), Ray!$A$1, ),
  IF(COUNTIF(Raul!$A$3:$A$5506, A154), Raul!$A$1, ),
  IF(COUNTIF(Ricardo!$A$3:$A$5506, A154), Ricardo!$A$1, ),
  IF(COUNTIF(pixote!$A$3:$A$5506, A154), pixote!$A$1, ),
  IF(COUNTIF(Lucas!$A$3:$A$5506, A154), Lucas!$A$1, ),
  IF(COUNTIF(Will!$A$3:$A$5506, A154), Will!$A$1, )
)
</f>
        <v>Pixote</v>
      </c>
    </row>
    <row r="155" hidden="1">
      <c r="A155" s="7" t="str">
        <f>IFERROR(__xludf.DUMMYFUNCTION("""COMPUTED_VALUE"""),"raul gil")</f>
        <v>raul gil</v>
      </c>
      <c r="B155" s="35" t="str">
        <f>TEXTJOIN(", ", TRUE,
  IF(COUNTIF(Angela!$A$3:$A$5506, A155), Angela!$A$1, ),
  IF(COUNTIF(Rayreis!$A$3:$A$5506, A155), Rayreis!$A$1, ),
  IF(COUNTIF('Bruno bizarro'!$A$3:$A$5506, A155), 'Bruno bizarro'!$A$1, ),
  IF(COUNTIF(Bozsa!$A$3:$A$5506, A155), Bozsa!$A$1, ),
  IF(COUNTIF(Felipe!$A$3:$A$5506, A155), Felipe!$A$1, ),
  IF(COUNTIF(Luan!$A$3:$A$5506, A155), Luan!$A$1, ),
  IF(COUNTIF(Ray!$A$3:$A$5506, A155), Ray!$A$1, ),
  IF(COUNTIF(Raul!$A$3:$A$5506, A155), Raul!$A$1, ),
  IF(COUNTIF(Ricardo!$A$3:$A$5506, A155), Ricardo!$A$1, ),
  IF(COUNTIF(pixote!$A$3:$A$5506, A155), pixote!$A$1, ),
  IF(COUNTIF(Lucas!$A$3:$A$5506, A155), Lucas!$A$1, ),
  IF(COUNTIF(Will!$A$3:$A$5506, A155), Will!$A$1, )
)
</f>
        <v>Ray satanista, RAUL (ex-Coveiro) , Pixote, WILL</v>
      </c>
    </row>
    <row r="156" hidden="1">
      <c r="A156" s="7" t="str">
        <f>IFERROR(__xludf.DUMMYFUNCTION("""COMPUTED_VALUE"""),"gordao da xj")</f>
        <v>gordao da xj</v>
      </c>
      <c r="B156" s="35" t="str">
        <f>TEXTJOIN(", ", TRUE,
  IF(COUNTIF(Angela!$A$3:$A$5506, A156), Angela!$A$1, ),
  IF(COUNTIF(Rayreis!$A$3:$A$5506, A156), Rayreis!$A$1, ),
  IF(COUNTIF('Bruno bizarro'!$A$3:$A$5506, A156), 'Bruno bizarro'!$A$1, ),
  IF(COUNTIF(Bozsa!$A$3:$A$5506, A156), Bozsa!$A$1, ),
  IF(COUNTIF(Felipe!$A$3:$A$5506, A156), Felipe!$A$1, ),
  IF(COUNTIF(Luan!$A$3:$A$5506, A156), Luan!$A$1, ),
  IF(COUNTIF(Ray!$A$3:$A$5506, A156), Ray!$A$1, ),
  IF(COUNTIF(Raul!$A$3:$A$5506, A156), Raul!$A$1, ),
  IF(COUNTIF(Ricardo!$A$3:$A$5506, A156), Ricardo!$A$1, ),
  IF(COUNTIF(pixote!$A$3:$A$5506, A156), pixote!$A$1, ),
  IF(COUNTIF(Lucas!$A$3:$A$5506, A156), Lucas!$A$1, ),
  IF(COUNTIF(Will!$A$3:$A$5506, A156), Will!$A$1, )
)
</f>
        <v>Pixote</v>
      </c>
    </row>
    <row r="157" hidden="1">
      <c r="A157" s="7" t="str">
        <f>IFERROR(__xludf.DUMMYFUNCTION("""COMPUTED_VALUE"""),"day z")</f>
        <v>day z</v>
      </c>
      <c r="B157" s="35" t="str">
        <f>TEXTJOIN(", ", TRUE,
  IF(COUNTIF(Angela!$A$3:$A$5506, A157), Angela!$A$1, ),
  IF(COUNTIF(Rayreis!$A$3:$A$5506, A157), Rayreis!$A$1, ),
  IF(COUNTIF('Bruno bizarro'!$A$3:$A$5506, A157), 'Bruno bizarro'!$A$1, ),
  IF(COUNTIF(Bozsa!$A$3:$A$5506, A157), Bozsa!$A$1, ),
  IF(COUNTIF(Felipe!$A$3:$A$5506, A157), Felipe!$A$1, ),
  IF(COUNTIF(Luan!$A$3:$A$5506, A157), Luan!$A$1, ),
  IF(COUNTIF(Ray!$A$3:$A$5506, A157), Ray!$A$1, ),
  IF(COUNTIF(Raul!$A$3:$A$5506, A157), Raul!$A$1, ),
  IF(COUNTIF(Ricardo!$A$3:$A$5506, A157), Ricardo!$A$1, ),
  IF(COUNTIF(pixote!$A$3:$A$5506, A157), pixote!$A$1, ),
  IF(COUNTIF(Lucas!$A$3:$A$5506, A157), Lucas!$A$1, ),
  IF(COUNTIF(Will!$A$3:$A$5506, A157), Will!$A$1, )
)
</f>
        <v>Pixote</v>
      </c>
    </row>
    <row r="158" hidden="1">
      <c r="A158" s="7" t="str">
        <f>IFERROR(__xludf.DUMMYFUNCTION("""COMPUTED_VALUE"""),"liluzi")</f>
        <v>liluzi</v>
      </c>
      <c r="B158" s="35" t="str">
        <f>TEXTJOIN(", ", TRUE,
  IF(COUNTIF(Angela!$A$3:$A$5506, A158), Angela!$A$1, ),
  IF(COUNTIF(Rayreis!$A$3:$A$5506, A158), Rayreis!$A$1, ),
  IF(COUNTIF('Bruno bizarro'!$A$3:$A$5506, A158), 'Bruno bizarro'!$A$1, ),
  IF(COUNTIF(Bozsa!$A$3:$A$5506, A158), Bozsa!$A$1, ),
  IF(COUNTIF(Felipe!$A$3:$A$5506, A158), Felipe!$A$1, ),
  IF(COUNTIF(Luan!$A$3:$A$5506, A158), Luan!$A$1, ),
  IF(COUNTIF(Ray!$A$3:$A$5506, A158), Ray!$A$1, ),
  IF(COUNTIF(Raul!$A$3:$A$5506, A158), Raul!$A$1, ),
  IF(COUNTIF(Ricardo!$A$3:$A$5506, A158), Ricardo!$A$1, ),
  IF(COUNTIF(pixote!$A$3:$A$5506, A158), pixote!$A$1, ),
  IF(COUNTIF(Lucas!$A$3:$A$5506, A158), Lucas!$A$1, ),
  IF(COUNTIF(Will!$A$3:$A$5506, A158), Will!$A$1, )
)
</f>
        <v>Pixote</v>
      </c>
    </row>
    <row r="159" hidden="1">
      <c r="A159" s="7" t="str">
        <f>IFERROR(__xludf.DUMMYFUNCTION("""COMPUTED_VALUE"""),"fernando do sorocaba")</f>
        <v>fernando do sorocaba</v>
      </c>
      <c r="B159" s="35" t="str">
        <f>TEXTJOIN(", ", TRUE,
  IF(COUNTIF(Angela!$A$3:$A$5506, A159), Angela!$A$1, ),
  IF(COUNTIF(Rayreis!$A$3:$A$5506, A159), Rayreis!$A$1, ),
  IF(COUNTIF('Bruno bizarro'!$A$3:$A$5506, A159), 'Bruno bizarro'!$A$1, ),
  IF(COUNTIF(Bozsa!$A$3:$A$5506, A159), Bozsa!$A$1, ),
  IF(COUNTIF(Felipe!$A$3:$A$5506, A159), Felipe!$A$1, ),
  IF(COUNTIF(Luan!$A$3:$A$5506, A159), Luan!$A$1, ),
  IF(COUNTIF(Ray!$A$3:$A$5506, A159), Ray!$A$1, ),
  IF(COUNTIF(Raul!$A$3:$A$5506, A159), Raul!$A$1, ),
  IF(COUNTIF(Ricardo!$A$3:$A$5506, A159), Ricardo!$A$1, ),
  IF(COUNTIF(pixote!$A$3:$A$5506, A159), pixote!$A$1, ),
  IF(COUNTIF(Lucas!$A$3:$A$5506, A159), Lucas!$A$1, ),
  IF(COUNTIF(Will!$A$3:$A$5506, A159), Will!$A$1, )
)
</f>
        <v>Pixote</v>
      </c>
    </row>
    <row r="160" hidden="1">
      <c r="A160" s="7" t="str">
        <f>IFERROR(__xludf.DUMMYFUNCTION("""COMPUTED_VALUE"""),"jackie chan")</f>
        <v>jackie chan</v>
      </c>
      <c r="B160" s="35" t="str">
        <f>TEXTJOIN(", ", TRUE,
  IF(COUNTIF(Angela!$A$3:$A$5506, A160), Angela!$A$1, ),
  IF(COUNTIF(Rayreis!$A$3:$A$5506, A160), Rayreis!$A$1, ),
  IF(COUNTIF('Bruno bizarro'!$A$3:$A$5506, A160), 'Bruno bizarro'!$A$1, ),
  IF(COUNTIF(Bozsa!$A$3:$A$5506, A160), Bozsa!$A$1, ),
  IF(COUNTIF(Felipe!$A$3:$A$5506, A160), Felipe!$A$1, ),
  IF(COUNTIF(Luan!$A$3:$A$5506, A160), Luan!$A$1, ),
  IF(COUNTIF(Ray!$A$3:$A$5506, A160), Ray!$A$1, ),
  IF(COUNTIF(Raul!$A$3:$A$5506, A160), Raul!$A$1, ),
  IF(COUNTIF(Ricardo!$A$3:$A$5506, A160), Ricardo!$A$1, ),
  IF(COUNTIF(pixote!$A$3:$A$5506, A160), pixote!$A$1, ),
  IF(COUNTIF(Lucas!$A$3:$A$5506, A160), Lucas!$A$1, ),
  IF(COUNTIF(Will!$A$3:$A$5506, A160), Will!$A$1, )
)
</f>
        <v>Lucas aleatório</v>
      </c>
    </row>
    <row r="161" hidden="1">
      <c r="A161" s="7" t="str">
        <f>IFERROR(__xludf.DUMMYFUNCTION("""COMPUTED_VALUE"""),"putin")</f>
        <v>putin</v>
      </c>
      <c r="B161" s="35" t="str">
        <f>TEXTJOIN(", ", TRUE,
  IF(COUNTIF(Angela!$A$3:$A$5506, A161), Angela!$A$1, ),
  IF(COUNTIF(Rayreis!$A$3:$A$5506, A161), Rayreis!$A$1, ),
  IF(COUNTIF('Bruno bizarro'!$A$3:$A$5506, A161), 'Bruno bizarro'!$A$1, ),
  IF(COUNTIF(Bozsa!$A$3:$A$5506, A161), Bozsa!$A$1, ),
  IF(COUNTIF(Felipe!$A$3:$A$5506, A161), Felipe!$A$1, ),
  IF(COUNTIF(Luan!$A$3:$A$5506, A161), Luan!$A$1, ),
  IF(COUNTIF(Ray!$A$3:$A$5506, A161), Ray!$A$1, ),
  IF(COUNTIF(Raul!$A$3:$A$5506, A161), Raul!$A$1, ),
  IF(COUNTIF(Ricardo!$A$3:$A$5506, A161), Ricardo!$A$1, ),
  IF(COUNTIF(pixote!$A$3:$A$5506, A161), pixote!$A$1, ),
  IF(COUNTIF(Lucas!$A$3:$A$5506, A161), Lucas!$A$1, ),
  IF(COUNTIF(Will!$A$3:$A$5506, A161), Will!$A$1, )
)
</f>
        <v>Lucas aleatório</v>
      </c>
    </row>
    <row r="162" hidden="1">
      <c r="A162" s="7" t="str">
        <f>IFERROR(__xludf.DUMMYFUNCTION("""COMPUTED_VALUE"""),"Biden")</f>
        <v>Biden</v>
      </c>
      <c r="B162" s="35" t="str">
        <f>TEXTJOIN(", ", TRUE,
  IF(COUNTIF(Angela!$A$3:$A$5506, A162), Angela!$A$1, ),
  IF(COUNTIF(Rayreis!$A$3:$A$5506, A162), Rayreis!$A$1, ),
  IF(COUNTIF('Bruno bizarro'!$A$3:$A$5506, A162), 'Bruno bizarro'!$A$1, ),
  IF(COUNTIF(Bozsa!$A$3:$A$5506, A162), Bozsa!$A$1, ),
  IF(COUNTIF(Felipe!$A$3:$A$5506, A162), Felipe!$A$1, ),
  IF(COUNTIF(Luan!$A$3:$A$5506, A162), Luan!$A$1, ),
  IF(COUNTIF(Ray!$A$3:$A$5506, A162), Ray!$A$1, ),
  IF(COUNTIF(Raul!$A$3:$A$5506, A162), Raul!$A$1, ),
  IF(COUNTIF(Ricardo!$A$3:$A$5506, A162), Ricardo!$A$1, ),
  IF(COUNTIF(pixote!$A$3:$A$5506, A162), pixote!$A$1, ),
  IF(COUNTIF(Lucas!$A$3:$A$5506, A162), Lucas!$A$1, ),
  IF(COUNTIF(Will!$A$3:$A$5506, A162), Will!$A$1, )
)
</f>
        <v>Lucas aleatório</v>
      </c>
    </row>
    <row r="163">
      <c r="A163" s="7" t="str">
        <f>IFERROR(__xludf.DUMMYFUNCTION("""COMPUTED_VALUE"""),"Papa francisco")</f>
        <v>Papa francisco</v>
      </c>
      <c r="B163" s="34" t="str">
        <f>TEXTJOIN(", ", TRUE,
  IF(COUNTIF(Angela!$A$3:$A$5506, A163), Angela!$A$1, ),
  IF(COUNTIF(Rayreis!$A$3:$A$5506, A163), Rayreis!$A$1, ),
  IF(COUNTIF('Bruno bizarro'!$A$3:$A$5506, A163), 'Bruno bizarro'!$A$1, ),
  IF(COUNTIF(Bozsa!$A$3:$A$5506, A163), Bozsa!$A$1, ),
  IF(COUNTIF(Felipe!$A$3:$A$5506, A163), Felipe!$A$1, ),
  IF(COUNTIF(Luan!$A$3:$A$5506, A163), Luan!$A$1, ),
  IF(COUNTIF(Ray!$A$3:$A$5506, A163), Ray!$A$1, ),
  IF(COUNTIF(Raul!$A$3:$A$5506, A163), Raul!$A$1, ),
  IF(COUNTIF(Ricardo!$A$3:$A$5506, A163), Ricardo!$A$1, ),
  IF(COUNTIF(pixote!$A$3:$A$5506, A163), pixote!$A$1, ),
  IF(COUNTIF(Lucas!$A$3:$A$5506, A163), Lucas!$A$1, ),
  IF(COUNTIF(Will!$A$3:$A$5506, A163), Will!$A$1, )
)
</f>
        <v>Lucas aleatório</v>
      </c>
      <c r="C163" s="17" t="s">
        <v>287</v>
      </c>
    </row>
    <row r="164" hidden="1">
      <c r="A164" s="7" t="str">
        <f>IFERROR(__xludf.DUMMYFUNCTION("""COMPUTED_VALUE"""),"Aecio neves")</f>
        <v>Aecio neves</v>
      </c>
      <c r="B164" s="35" t="str">
        <f>TEXTJOIN(", ", TRUE,
  IF(COUNTIF(Angela!$A$3:$A$5506, A164), Angela!$A$1, ),
  IF(COUNTIF(Rayreis!$A$3:$A$5506, A164), Rayreis!$A$1, ),
  IF(COUNTIF('Bruno bizarro'!$A$3:$A$5506, A164), 'Bruno bizarro'!$A$1, ),
  IF(COUNTIF(Bozsa!$A$3:$A$5506, A164), Bozsa!$A$1, ),
  IF(COUNTIF(Felipe!$A$3:$A$5506, A164), Felipe!$A$1, ),
  IF(COUNTIF(Luan!$A$3:$A$5506, A164), Luan!$A$1, ),
  IF(COUNTIF(Ray!$A$3:$A$5506, A164), Ray!$A$1, ),
  IF(COUNTIF(Raul!$A$3:$A$5506, A164), Raul!$A$1, ),
  IF(COUNTIF(Ricardo!$A$3:$A$5506, A164), Ricardo!$A$1, ),
  IF(COUNTIF(pixote!$A$3:$A$5506, A164), pixote!$A$1, ),
  IF(COUNTIF(Lucas!$A$3:$A$5506, A164), Lucas!$A$1, ),
  IF(COUNTIF(Will!$A$3:$A$5506, A164), Will!$A$1, )
)
</f>
        <v>Lucas aleatório</v>
      </c>
    </row>
    <row r="165" hidden="1">
      <c r="A165" s="7" t="str">
        <f>IFERROR(__xludf.DUMMYFUNCTION("""COMPUTED_VALUE"""),"trump")</f>
        <v>trump</v>
      </c>
      <c r="B165" s="35" t="str">
        <f>TEXTJOIN(", ", TRUE,
  IF(COUNTIF(Angela!$A$3:$A$5506, A165), Angela!$A$1, ),
  IF(COUNTIF(Rayreis!$A$3:$A$5506, A165), Rayreis!$A$1, ),
  IF(COUNTIF('Bruno bizarro'!$A$3:$A$5506, A165), 'Bruno bizarro'!$A$1, ),
  IF(COUNTIF(Bozsa!$A$3:$A$5506, A165), Bozsa!$A$1, ),
  IF(COUNTIF(Felipe!$A$3:$A$5506, A165), Felipe!$A$1, ),
  IF(COUNTIF(Luan!$A$3:$A$5506, A165), Luan!$A$1, ),
  IF(COUNTIF(Ray!$A$3:$A$5506, A165), Ray!$A$1, ),
  IF(COUNTIF(Raul!$A$3:$A$5506, A165), Raul!$A$1, ),
  IF(COUNTIF(Ricardo!$A$3:$A$5506, A165), Ricardo!$A$1, ),
  IF(COUNTIF(pixote!$A$3:$A$5506, A165), pixote!$A$1, ),
  IF(COUNTIF(Lucas!$A$3:$A$5506, A165), Lucas!$A$1, ),
  IF(COUNTIF(Will!$A$3:$A$5506, A165), Will!$A$1, )
)
</f>
        <v>Lucas aleatório</v>
      </c>
    </row>
    <row r="166" hidden="1">
      <c r="A166" s="7" t="str">
        <f>IFERROR(__xludf.DUMMYFUNCTION("""COMPUTED_VALUE"""),"arthur do val")</f>
        <v>arthur do val</v>
      </c>
      <c r="B166" s="35" t="str">
        <f>TEXTJOIN(", ", TRUE,
  IF(COUNTIF(Angela!$A$3:$A$5506, A166), Angela!$A$1, ),
  IF(COUNTIF(Rayreis!$A$3:$A$5506, A166), Rayreis!$A$1, ),
  IF(COUNTIF('Bruno bizarro'!$A$3:$A$5506, A166), 'Bruno bizarro'!$A$1, ),
  IF(COUNTIF(Bozsa!$A$3:$A$5506, A166), Bozsa!$A$1, ),
  IF(COUNTIF(Felipe!$A$3:$A$5506, A166), Felipe!$A$1, ),
  IF(COUNTIF(Luan!$A$3:$A$5506, A166), Luan!$A$1, ),
  IF(COUNTIF(Ray!$A$3:$A$5506, A166), Ray!$A$1, ),
  IF(COUNTIF(Raul!$A$3:$A$5506, A166), Raul!$A$1, ),
  IF(COUNTIF(Ricardo!$A$3:$A$5506, A166), Ricardo!$A$1, ),
  IF(COUNTIF(pixote!$A$3:$A$5506, A166), pixote!$A$1, ),
  IF(COUNTIF(Lucas!$A$3:$A$5506, A166), Lucas!$A$1, ),
  IF(COUNTIF(Will!$A$3:$A$5506, A166), Will!$A$1, )
)
</f>
        <v>Lucas aleatório</v>
      </c>
    </row>
    <row r="167" hidden="1">
      <c r="A167" s="7" t="str">
        <f>IFERROR(__xludf.DUMMYFUNCTION("""COMPUTED_VALUE"""),"silas malafaia")</f>
        <v>silas malafaia</v>
      </c>
      <c r="B167" s="35" t="str">
        <f>TEXTJOIN(", ", TRUE,
  IF(COUNTIF(Angela!$A$3:$A$5506, A167), Angela!$A$1, ),
  IF(COUNTIF(Rayreis!$A$3:$A$5506, A167), Rayreis!$A$1, ),
  IF(COUNTIF('Bruno bizarro'!$A$3:$A$5506, A167), 'Bruno bizarro'!$A$1, ),
  IF(COUNTIF(Bozsa!$A$3:$A$5506, A167), Bozsa!$A$1, ),
  IF(COUNTIF(Felipe!$A$3:$A$5506, A167), Felipe!$A$1, ),
  IF(COUNTIF(Luan!$A$3:$A$5506, A167), Luan!$A$1, ),
  IF(COUNTIF(Ray!$A$3:$A$5506, A167), Ray!$A$1, ),
  IF(COUNTIF(Raul!$A$3:$A$5506, A167), Raul!$A$1, ),
  IF(COUNTIF(Ricardo!$A$3:$A$5506, A167), Ricardo!$A$1, ),
  IF(COUNTIF(pixote!$A$3:$A$5506, A167), pixote!$A$1, ),
  IF(COUNTIF(Lucas!$A$3:$A$5506, A167), Lucas!$A$1, ),
  IF(COUNTIF(Will!$A$3:$A$5506, A167), Will!$A$1, )
)
</f>
        <v>Lucas aleatório</v>
      </c>
    </row>
    <row r="168" hidden="1">
      <c r="A168" s="7" t="str">
        <f>IFERROR(__xludf.DUMMYFUNCTION("""COMPUTED_VALUE"""),"RR Soares")</f>
        <v>RR Soares</v>
      </c>
      <c r="B168" s="35" t="str">
        <f>TEXTJOIN(", ", TRUE,
  IF(COUNTIF(Angela!$A$3:$A$5506, A168), Angela!$A$1, ),
  IF(COUNTIF(Rayreis!$A$3:$A$5506, A168), Rayreis!$A$1, ),
  IF(COUNTIF('Bruno bizarro'!$A$3:$A$5506, A168), 'Bruno bizarro'!$A$1, ),
  IF(COUNTIF(Bozsa!$A$3:$A$5506, A168), Bozsa!$A$1, ),
  IF(COUNTIF(Felipe!$A$3:$A$5506, A168), Felipe!$A$1, ),
  IF(COUNTIF(Luan!$A$3:$A$5506, A168), Luan!$A$1, ),
  IF(COUNTIF(Ray!$A$3:$A$5506, A168), Ray!$A$1, ),
  IF(COUNTIF(Raul!$A$3:$A$5506, A168), Raul!$A$1, ),
  IF(COUNTIF(Ricardo!$A$3:$A$5506, A168), Ricardo!$A$1, ),
  IF(COUNTIF(pixote!$A$3:$A$5506, A168), pixote!$A$1, ),
  IF(COUNTIF(Lucas!$A$3:$A$5506, A168), Lucas!$A$1, ),
  IF(COUNTIF(Will!$A$3:$A$5506, A168), Will!$A$1, )
)
</f>
        <v>Lucas aleatório</v>
      </c>
    </row>
    <row r="169" hidden="1">
      <c r="A169" s="7" t="str">
        <f>IFERROR(__xludf.DUMMYFUNCTION("""COMPUTED_VALUE"""),"Padre kelmon")</f>
        <v>Padre kelmon</v>
      </c>
      <c r="B169" s="35" t="str">
        <f>TEXTJOIN(", ", TRUE,
  IF(COUNTIF(Angela!$A$3:$A$5506, A169), Angela!$A$1, ),
  IF(COUNTIF(Rayreis!$A$3:$A$5506, A169), Rayreis!$A$1, ),
  IF(COUNTIF('Bruno bizarro'!$A$3:$A$5506, A169), 'Bruno bizarro'!$A$1, ),
  IF(COUNTIF(Bozsa!$A$3:$A$5506, A169), Bozsa!$A$1, ),
  IF(COUNTIF(Felipe!$A$3:$A$5506, A169), Felipe!$A$1, ),
  IF(COUNTIF(Luan!$A$3:$A$5506, A169), Luan!$A$1, ),
  IF(COUNTIF(Ray!$A$3:$A$5506, A169), Ray!$A$1, ),
  IF(COUNTIF(Raul!$A$3:$A$5506, A169), Raul!$A$1, ),
  IF(COUNTIF(Ricardo!$A$3:$A$5506, A169), Ricardo!$A$1, ),
  IF(COUNTIF(pixote!$A$3:$A$5506, A169), pixote!$A$1, ),
  IF(COUNTIF(Lucas!$A$3:$A$5506, A169), Lucas!$A$1, ),
  IF(COUNTIF(Will!$A$3:$A$5506, A169), Will!$A$1, )
)
</f>
        <v>Lucas aleatório</v>
      </c>
    </row>
    <row r="170" hidden="1">
      <c r="A170" s="7" t="str">
        <f>IFERROR(__xludf.DUMMYFUNCTION("""COMPUTED_VALUE"""),"ricardo salles")</f>
        <v>ricardo salles</v>
      </c>
      <c r="B170" s="35" t="str">
        <f>TEXTJOIN(", ", TRUE,
  IF(COUNTIF(Angela!$A$3:$A$5506, A170), Angela!$A$1, ),
  IF(COUNTIF(Rayreis!$A$3:$A$5506, A170), Rayreis!$A$1, ),
  IF(COUNTIF('Bruno bizarro'!$A$3:$A$5506, A170), 'Bruno bizarro'!$A$1, ),
  IF(COUNTIF(Bozsa!$A$3:$A$5506, A170), Bozsa!$A$1, ),
  IF(COUNTIF(Felipe!$A$3:$A$5506, A170), Felipe!$A$1, ),
  IF(COUNTIF(Luan!$A$3:$A$5506, A170), Luan!$A$1, ),
  IF(COUNTIF(Ray!$A$3:$A$5506, A170), Ray!$A$1, ),
  IF(COUNTIF(Raul!$A$3:$A$5506, A170), Raul!$A$1, ),
  IF(COUNTIF(Ricardo!$A$3:$A$5506, A170), Ricardo!$A$1, ),
  IF(COUNTIF(pixote!$A$3:$A$5506, A170), pixote!$A$1, ),
  IF(COUNTIF(Lucas!$A$3:$A$5506, A170), Lucas!$A$1, ),
  IF(COUNTIF(Will!$A$3:$A$5506, A170), Will!$A$1, )
)
</f>
        <v>Lucas aleatório</v>
      </c>
    </row>
    <row r="171" hidden="1">
      <c r="A171" s="7" t="str">
        <f>IFERROR(__xludf.DUMMYFUNCTION("""COMPUTED_VALUE"""),"edir macedo")</f>
        <v>edir macedo</v>
      </c>
      <c r="B171" s="35" t="str">
        <f>TEXTJOIN(", ", TRUE,
  IF(COUNTIF(Angela!$A$3:$A$5506, A171), Angela!$A$1, ),
  IF(COUNTIF(Rayreis!$A$3:$A$5506, A171), Rayreis!$A$1, ),
  IF(COUNTIF('Bruno bizarro'!$A$3:$A$5506, A171), 'Bruno bizarro'!$A$1, ),
  IF(COUNTIF(Bozsa!$A$3:$A$5506, A171), Bozsa!$A$1, ),
  IF(COUNTIF(Felipe!$A$3:$A$5506, A171), Felipe!$A$1, ),
  IF(COUNTIF(Luan!$A$3:$A$5506, A171), Luan!$A$1, ),
  IF(COUNTIF(Ray!$A$3:$A$5506, A171), Ray!$A$1, ),
  IF(COUNTIF(Raul!$A$3:$A$5506, A171), Raul!$A$1, ),
  IF(COUNTIF(Ricardo!$A$3:$A$5506, A171), Ricardo!$A$1, ),
  IF(COUNTIF(pixote!$A$3:$A$5506, A171), pixote!$A$1, ),
  IF(COUNTIF(Lucas!$A$3:$A$5506, A171), Lucas!$A$1, ),
  IF(COUNTIF(Will!$A$3:$A$5506, A171), Will!$A$1, )
)
</f>
        <v>Lucas aleatório</v>
      </c>
    </row>
    <row r="172" hidden="1">
      <c r="A172" s="7" t="str">
        <f>IFERROR(__xludf.DUMMYFUNCTION("""COMPUTED_VALUE"""),"valdemiro santiago")</f>
        <v>valdemiro santiago</v>
      </c>
      <c r="B172" s="35" t="str">
        <f>TEXTJOIN(", ", TRUE,
  IF(COUNTIF(Angela!$A$3:$A$5506, A172), Angela!$A$1, ),
  IF(COUNTIF(Rayreis!$A$3:$A$5506, A172), Rayreis!$A$1, ),
  IF(COUNTIF('Bruno bizarro'!$A$3:$A$5506, A172), 'Bruno bizarro'!$A$1, ),
  IF(COUNTIF(Bozsa!$A$3:$A$5506, A172), Bozsa!$A$1, ),
  IF(COUNTIF(Felipe!$A$3:$A$5506, A172), Felipe!$A$1, ),
  IF(COUNTIF(Luan!$A$3:$A$5506, A172), Luan!$A$1, ),
  IF(COUNTIF(Ray!$A$3:$A$5506, A172), Ray!$A$1, ),
  IF(COUNTIF(Raul!$A$3:$A$5506, A172), Raul!$A$1, ),
  IF(COUNTIF(Ricardo!$A$3:$A$5506, A172), Ricardo!$A$1, ),
  IF(COUNTIF(pixote!$A$3:$A$5506, A172), pixote!$A$1, ),
  IF(COUNTIF(Lucas!$A$3:$A$5506, A172), Lucas!$A$1, ),
  IF(COUNTIF(Will!$A$3:$A$5506, A172), Will!$A$1, )
)
</f>
        <v>Lucas aleatório</v>
      </c>
    </row>
    <row r="173" hidden="1">
      <c r="A173" s="7" t="str">
        <f>IFERROR(__xludf.DUMMYFUNCTION("""COMPUTED_VALUE"""),"michael tamer")</f>
        <v>michael tamer</v>
      </c>
      <c r="B173" s="35" t="str">
        <f>TEXTJOIN(", ", TRUE,
  IF(COUNTIF(Angela!$A$3:$A$5506, A173), Angela!$A$1, ),
  IF(COUNTIF(Rayreis!$A$3:$A$5506, A173), Rayreis!$A$1, ),
  IF(COUNTIF('Bruno bizarro'!$A$3:$A$5506, A173), 'Bruno bizarro'!$A$1, ),
  IF(COUNTIF(Bozsa!$A$3:$A$5506, A173), Bozsa!$A$1, ),
  IF(COUNTIF(Felipe!$A$3:$A$5506, A173), Felipe!$A$1, ),
  IF(COUNTIF(Luan!$A$3:$A$5506, A173), Luan!$A$1, ),
  IF(COUNTIF(Ray!$A$3:$A$5506, A173), Ray!$A$1, ),
  IF(COUNTIF(Raul!$A$3:$A$5506, A173), Raul!$A$1, ),
  IF(COUNTIF(Ricardo!$A$3:$A$5506, A173), Ricardo!$A$1, ),
  IF(COUNTIF(pixote!$A$3:$A$5506, A173), pixote!$A$1, ),
  IF(COUNTIF(Lucas!$A$3:$A$5506, A173), Lucas!$A$1, ),
  IF(COUNTIF(Will!$A$3:$A$5506, A173), Will!$A$1, )
)
</f>
        <v>Lucas aleatório</v>
      </c>
    </row>
    <row r="174" hidden="1">
      <c r="A174" s="7" t="str">
        <f>IFERROR(__xludf.DUMMYFUNCTION("""COMPUTED_VALUE"""),"Eduardo bolsonaro")</f>
        <v>Eduardo bolsonaro</v>
      </c>
      <c r="B174" s="35" t="str">
        <f>TEXTJOIN(", ", TRUE,
  IF(COUNTIF(Angela!$A$3:$A$5506, A174), Angela!$A$1, ),
  IF(COUNTIF(Rayreis!$A$3:$A$5506, A174), Rayreis!$A$1, ),
  IF(COUNTIF('Bruno bizarro'!$A$3:$A$5506, A174), 'Bruno bizarro'!$A$1, ),
  IF(COUNTIF(Bozsa!$A$3:$A$5506, A174), Bozsa!$A$1, ),
  IF(COUNTIF(Felipe!$A$3:$A$5506, A174), Felipe!$A$1, ),
  IF(COUNTIF(Luan!$A$3:$A$5506, A174), Luan!$A$1, ),
  IF(COUNTIF(Ray!$A$3:$A$5506, A174), Ray!$A$1, ),
  IF(COUNTIF(Raul!$A$3:$A$5506, A174), Raul!$A$1, ),
  IF(COUNTIF(Ricardo!$A$3:$A$5506, A174), Ricardo!$A$1, ),
  IF(COUNTIF(pixote!$A$3:$A$5506, A174), pixote!$A$1, ),
  IF(COUNTIF(Lucas!$A$3:$A$5506, A174), Lucas!$A$1, ),
  IF(COUNTIF(Will!$A$3:$A$5506, A174), Will!$A$1, )
)
</f>
        <v>Lucas aleatório</v>
      </c>
    </row>
    <row r="175" hidden="1">
      <c r="A175" s="7" t="str">
        <f>IFERROR(__xludf.DUMMYFUNCTION("""COMPUTED_VALUE"""),"marco feliciano")</f>
        <v>marco feliciano</v>
      </c>
      <c r="B175" s="35" t="str">
        <f>TEXTJOIN(", ", TRUE,
  IF(COUNTIF(Angela!$A$3:$A$5506, A175), Angela!$A$1, ),
  IF(COUNTIF(Rayreis!$A$3:$A$5506, A175), Rayreis!$A$1, ),
  IF(COUNTIF('Bruno bizarro'!$A$3:$A$5506, A175), 'Bruno bizarro'!$A$1, ),
  IF(COUNTIF(Bozsa!$A$3:$A$5506, A175), Bozsa!$A$1, ),
  IF(COUNTIF(Felipe!$A$3:$A$5506, A175), Felipe!$A$1, ),
  IF(COUNTIF(Luan!$A$3:$A$5506, A175), Luan!$A$1, ),
  IF(COUNTIF(Ray!$A$3:$A$5506, A175), Ray!$A$1, ),
  IF(COUNTIF(Raul!$A$3:$A$5506, A175), Raul!$A$1, ),
  IF(COUNTIF(Ricardo!$A$3:$A$5506, A175), Ricardo!$A$1, ),
  IF(COUNTIF(pixote!$A$3:$A$5506, A175), pixote!$A$1, ),
  IF(COUNTIF(Lucas!$A$3:$A$5506, A175), Lucas!$A$1, ),
  IF(COUNTIF(Will!$A$3:$A$5506, A175), Will!$A$1, )
)
</f>
        <v>Lucas aleatório</v>
      </c>
    </row>
    <row r="176" hidden="1">
      <c r="A176" s="7" t="str">
        <f>IFERROR(__xludf.DUMMYFUNCTION("""COMPUTED_VALUE"""),"tarcisiio")</f>
        <v>tarcisiio</v>
      </c>
      <c r="B176" s="35" t="str">
        <f>TEXTJOIN(", ", TRUE,
  IF(COUNTIF(Angela!$A$3:$A$5506, A176), Angela!$A$1, ),
  IF(COUNTIF(Rayreis!$A$3:$A$5506, A176), Rayreis!$A$1, ),
  IF(COUNTIF('Bruno bizarro'!$A$3:$A$5506, A176), 'Bruno bizarro'!$A$1, ),
  IF(COUNTIF(Bozsa!$A$3:$A$5506, A176), Bozsa!$A$1, ),
  IF(COUNTIF(Felipe!$A$3:$A$5506, A176), Felipe!$A$1, ),
  IF(COUNTIF(Luan!$A$3:$A$5506, A176), Luan!$A$1, ),
  IF(COUNTIF(Ray!$A$3:$A$5506, A176), Ray!$A$1, ),
  IF(COUNTIF(Raul!$A$3:$A$5506, A176), Raul!$A$1, ),
  IF(COUNTIF(Ricardo!$A$3:$A$5506, A176), Ricardo!$A$1, ),
  IF(COUNTIF(pixote!$A$3:$A$5506, A176), pixote!$A$1, ),
  IF(COUNTIF(Lucas!$A$3:$A$5506, A176), Lucas!$A$1, ),
  IF(COUNTIF(Will!$A$3:$A$5506, A176), Will!$A$1, )
)
</f>
        <v>Lucas aleatório</v>
      </c>
    </row>
    <row r="177" hidden="1">
      <c r="A177" s="7" t="str">
        <f>IFERROR(__xludf.DUMMYFUNCTION("""COMPUTED_VALUE"""),"Faustao")</f>
        <v>Faustao</v>
      </c>
      <c r="B177" s="35" t="str">
        <f>TEXTJOIN(", ", TRUE,
  IF(COUNTIF(Angela!$A$3:$A$5506, A177), Angela!$A$1, ),
  IF(COUNTIF(Rayreis!$A$3:$A$5506, A177), Rayreis!$A$1, ),
  IF(COUNTIF('Bruno bizarro'!$A$3:$A$5506, A177), 'Bruno bizarro'!$A$1, ),
  IF(COUNTIF(Bozsa!$A$3:$A$5506, A177), Bozsa!$A$1, ),
  IF(COUNTIF(Felipe!$A$3:$A$5506, A177), Felipe!$A$1, ),
  IF(COUNTIF(Luan!$A$3:$A$5506, A177), Luan!$A$1, ),
  IF(COUNTIF(Ray!$A$3:$A$5506, A177), Ray!$A$1, ),
  IF(COUNTIF(Raul!$A$3:$A$5506, A177), Raul!$A$1, ),
  IF(COUNTIF(Ricardo!$A$3:$A$5506, A177), Ricardo!$A$1, ),
  IF(COUNTIF(pixote!$A$3:$A$5506, A177), pixote!$A$1, ),
  IF(COUNTIF(Lucas!$A$3:$A$5506, A177), Lucas!$A$1, ),
  IF(COUNTIF(Will!$A$3:$A$5506, A177), Will!$A$1, )
)
</f>
        <v>Bruno bizarro (letra ruim), Luan viado, WILL</v>
      </c>
    </row>
    <row r="178" hidden="1">
      <c r="A178" s="7" t="str">
        <f>IFERROR(__xludf.DUMMYFUNCTION("""COMPUTED_VALUE"""),"Volodymyr zelensky")</f>
        <v>Volodymyr zelensky</v>
      </c>
      <c r="B178" s="35" t="str">
        <f>TEXTJOIN(", ", TRUE,
  IF(COUNTIF(Angela!$A$3:$A$5506, A178), Angela!$A$1, ),
  IF(COUNTIF(Rayreis!$A$3:$A$5506, A178), Rayreis!$A$1, ),
  IF(COUNTIF('Bruno bizarro'!$A$3:$A$5506, A178), 'Bruno bizarro'!$A$1, ),
  IF(COUNTIF(Bozsa!$A$3:$A$5506, A178), Bozsa!$A$1, ),
  IF(COUNTIF(Felipe!$A$3:$A$5506, A178), Felipe!$A$1, ),
  IF(COUNTIF(Luan!$A$3:$A$5506, A178), Luan!$A$1, ),
  IF(COUNTIF(Ray!$A$3:$A$5506, A178), Ray!$A$1, ),
  IF(COUNTIF(Raul!$A$3:$A$5506, A178), Raul!$A$1, ),
  IF(COUNTIF(Ricardo!$A$3:$A$5506, A178), Ricardo!$A$1, ),
  IF(COUNTIF(pixote!$A$3:$A$5506, A178), pixote!$A$1, ),
  IF(COUNTIF(Lucas!$A$3:$A$5506, A178), Lucas!$A$1, ),
  IF(COUNTIF(Will!$A$3:$A$5506, A178), Will!$A$1, )
)
</f>
        <v>WILL</v>
      </c>
    </row>
    <row r="179" hidden="1">
      <c r="A179" s="7" t="str">
        <f>IFERROR(__xludf.DUMMYFUNCTION("""COMPUTED_VALUE"""),"Sarney")</f>
        <v>Sarney</v>
      </c>
      <c r="B179" s="35" t="str">
        <f>TEXTJOIN(", ", TRUE,
  IF(COUNTIF(Angela!$A$3:$A$5506, A179), Angela!$A$1, ),
  IF(COUNTIF(Rayreis!$A$3:$A$5506, A179), Rayreis!$A$1, ),
  IF(COUNTIF('Bruno bizarro'!$A$3:$A$5506, A179), 'Bruno bizarro'!$A$1, ),
  IF(COUNTIF(Bozsa!$A$3:$A$5506, A179), Bozsa!$A$1, ),
  IF(COUNTIF(Felipe!$A$3:$A$5506, A179), Felipe!$A$1, ),
  IF(COUNTIF(Luan!$A$3:$A$5506, A179), Luan!$A$1, ),
  IF(COUNTIF(Ray!$A$3:$A$5506, A179), Ray!$A$1, ),
  IF(COUNTIF(Raul!$A$3:$A$5506, A179), Raul!$A$1, ),
  IF(COUNTIF(Ricardo!$A$3:$A$5506, A179), Ricardo!$A$1, ),
  IF(COUNTIF(pixote!$A$3:$A$5506, A179), pixote!$A$1, ),
  IF(COUNTIF(Lucas!$A$3:$A$5506, A179), Lucas!$A$1, ),
  IF(COUNTIF(Will!$A$3:$A$5506, A179), Will!$A$1, )
)
</f>
        <v>WILL</v>
      </c>
    </row>
    <row r="180" hidden="1">
      <c r="A180" s="7" t="str">
        <f>IFERROR(__xludf.DUMMYFUNCTION("""COMPUTED_VALUE"""),"alek do zoio")</f>
        <v>alek do zoio</v>
      </c>
      <c r="B180" s="35" t="str">
        <f>TEXTJOIN(", ", TRUE,
  IF(COUNTIF(Angela!$A$3:$A$5506, A180), Angela!$A$1, ),
  IF(COUNTIF(Rayreis!$A$3:$A$5506, A180), Rayreis!$A$1, ),
  IF(COUNTIF('Bruno bizarro'!$A$3:$A$5506, A180), 'Bruno bizarro'!$A$1, ),
  IF(COUNTIF(Bozsa!$A$3:$A$5506, A180), Bozsa!$A$1, ),
  IF(COUNTIF(Felipe!$A$3:$A$5506, A180), Felipe!$A$1, ),
  IF(COUNTIF(Luan!$A$3:$A$5506, A180), Luan!$A$1, ),
  IF(COUNTIF(Ray!$A$3:$A$5506, A180), Ray!$A$1, ),
  IF(COUNTIF(Raul!$A$3:$A$5506, A180), Raul!$A$1, ),
  IF(COUNTIF(Ricardo!$A$3:$A$5506, A180), Ricardo!$A$1, ),
  IF(COUNTIF(pixote!$A$3:$A$5506, A180), pixote!$A$1, ),
  IF(COUNTIF(Lucas!$A$3:$A$5506, A180), Lucas!$A$1, ),
  IF(COUNTIF(Will!$A$3:$A$5506, A180), Will!$A$1, )
)
</f>
        <v>WILL</v>
      </c>
    </row>
    <row r="181" hidden="1">
      <c r="A181" s="7" t="str">
        <f>IFERROR(__xludf.DUMMYFUNCTION("""COMPUTED_VALUE"""),"Pepe mijica")</f>
        <v>Pepe mijica</v>
      </c>
      <c r="B181" s="35" t="str">
        <f>TEXTJOIN(", ", TRUE,
  IF(COUNTIF(Angela!$A$3:$A$5506, A181), Angela!$A$1, ),
  IF(COUNTIF(Rayreis!$A$3:$A$5506, A181), Rayreis!$A$1, ),
  IF(COUNTIF('Bruno bizarro'!$A$3:$A$5506, A181), 'Bruno bizarro'!$A$1, ),
  IF(COUNTIF(Bozsa!$A$3:$A$5506, A181), Bozsa!$A$1, ),
  IF(COUNTIF(Felipe!$A$3:$A$5506, A181), Felipe!$A$1, ),
  IF(COUNTIF(Luan!$A$3:$A$5506, A181), Luan!$A$1, ),
  IF(COUNTIF(Ray!$A$3:$A$5506, A181), Ray!$A$1, ),
  IF(COUNTIF(Raul!$A$3:$A$5506, A181), Raul!$A$1, ),
  IF(COUNTIF(Ricardo!$A$3:$A$5506, A181), Ricardo!$A$1, ),
  IF(COUNTIF(pixote!$A$3:$A$5506, A181), pixote!$A$1, ),
  IF(COUNTIF(Lucas!$A$3:$A$5506, A181), Lucas!$A$1, ),
  IF(COUNTIF(Will!$A$3:$A$5506, A181), Will!$A$1, )
)
</f>
        <v>WILL</v>
      </c>
    </row>
    <row r="182" hidden="1">
      <c r="A182" s="35" t="str">
        <f>IFERROR(__xludf.DUMMYFUNCTION("""COMPUTED_VALUE"""),"Schumacher")</f>
        <v>Schumacher</v>
      </c>
      <c r="B182" s="35" t="str">
        <f>TEXTJOIN(", ", TRUE,
  IF(COUNTIF(Angela!$A$3:$A$5506, A182), Angela!$A$1, ),
  IF(COUNTIF(Rayreis!$A$3:$A$5506, A182), Rayreis!$A$1, ),
  IF(COUNTIF('Bruno bizarro'!$A$3:$A$5506, A182), 'Bruno bizarro'!$A$1, ),
  IF(COUNTIF(Bozsa!$A$3:$A$5506, A182), Bozsa!$A$1, ),
  IF(COUNTIF(Felipe!$A$3:$A$5506, A182), Felipe!$A$1, ),
  IF(COUNTIF(Luan!$A$3:$A$5506, A182), Luan!$A$1, ),
  IF(COUNTIF(Ray!$A$3:$A$5506, A182), Ray!$A$1, ),
  IF(COUNTIF(Raul!$A$3:$A$5506, A182), Raul!$A$1, ),
  IF(COUNTIF(Ricardo!$A$3:$A$5506, A182), Ricardo!$A$1, ),
  IF(COUNTIF(pixote!$A$3:$A$5506, A182), pixote!$A$1, ),
  IF(COUNTIF(Lucas!$A$3:$A$5506, A182), Lucas!$A$1, ),
  IF(COUNTIF(Will!$A$3:$A$5506, A182), Will!$A$1, )
)
</f>
        <v>WILL</v>
      </c>
    </row>
    <row r="183" hidden="1">
      <c r="A183" s="35" t="str">
        <f>IFERROR(__xludf.DUMMYFUNCTION("""COMPUTED_VALUE"""),"claudio rodrigues")</f>
        <v>claudio rodrigues</v>
      </c>
      <c r="B183" s="34" t="str">
        <f>TEXTJOIN(", ", TRUE,
  IF(COUNTIF(Angela!$A$3:$A$5506, A183), Angela!$A$1, ),
  IF(COUNTIF(Rayreis!$A$3:$A$5506, A183), Rayreis!$A$1, ),
  IF(COUNTIF('Bruno bizarro'!$A$3:$A$5506, A183), 'Bruno bizarro'!$A$1, ),
  IF(COUNTIF(Bozsa!$A$3:$A$5506, A183), Bozsa!$A$1, ),
  IF(COUNTIF(Felipe!$A$3:$A$5506, A183), Felipe!$A$1, ),
  IF(COUNTIF(Luan!$A$3:$A$5506, A183), Luan!$A$1, ),
  IF(COUNTIF(Ray!$A$3:$A$5506, A183), Ray!$A$1, ),
  IF(COUNTIF(Raul!$A$3:$A$5506, A183), Raul!$A$1, ),
  IF(COUNTIF(Ricardo!$A$3:$A$5506, A183), Ricardo!$A$1, ),
  IF(COUNTIF(pixote!$A$3:$A$5506, A183), pixote!$A$1, ),
  IF(COUNTIF(Lucas!$A$3:$A$5506, A183), Lucas!$A$1, ),
  IF(COUNTIF(Will!$A$3:$A$5506, A183), Will!$A$1, )
)
</f>
        <v>WILL</v>
      </c>
    </row>
    <row r="184" hidden="1">
      <c r="A184" s="35" t="str">
        <f>IFERROR(__xludf.DUMMYFUNCTION("""COMPUTED_VALUE"""),"roberto carlos")</f>
        <v>roberto carlos</v>
      </c>
      <c r="B184" s="35" t="str">
        <f>TEXTJOIN(", ", TRUE,
  IF(COUNTIF(Angela!$A$3:$A$5506, A184), Angela!$A$1, ),
  IF(COUNTIF(Rayreis!$A$3:$A$5506, A184), Rayreis!$A$1, ),
  IF(COUNTIF('Bruno bizarro'!$A$3:$A$5506, A184), 'Bruno bizarro'!$A$1, ),
  IF(COUNTIF(Bozsa!$A$3:$A$5506, A184), Bozsa!$A$1, ),
  IF(COUNTIF(Felipe!$A$3:$A$5506, A184), Felipe!$A$1, ),
  IF(COUNTIF(Luan!$A$3:$A$5506, A184), Luan!$A$1, ),
  IF(COUNTIF(Ray!$A$3:$A$5506, A184), Ray!$A$1, ),
  IF(COUNTIF(Raul!$A$3:$A$5506, A184), Raul!$A$1, ),
  IF(COUNTIF(Ricardo!$A$3:$A$5506, A184), Ricardo!$A$1, ),
  IF(COUNTIF(pixote!$A$3:$A$5506, A184), pixote!$A$1, ),
  IF(COUNTIF(Lucas!$A$3:$A$5506, A184), Lucas!$A$1, ),
  IF(COUNTIF(Will!$A$3:$A$5506, A184), Will!$A$1, )
)
</f>
        <v>RAY, WILL</v>
      </c>
    </row>
    <row r="185" hidden="1">
      <c r="A185" s="35" t="str">
        <f>IFERROR(__xludf.DUMMYFUNCTION("""COMPUTED_VALUE"""),"isabel veloso")</f>
        <v>isabel veloso</v>
      </c>
      <c r="B185" s="35" t="str">
        <f>TEXTJOIN(", ", TRUE,
  IF(COUNTIF(Angela!$A$3:$A$5506, A185), Angela!$A$1, ),
  IF(COUNTIF(Rayreis!$A$3:$A$5506, A185), Rayreis!$A$1, ),
  IF(COUNTIF('Bruno bizarro'!$A$3:$A$5506, A185), 'Bruno bizarro'!$A$1, ),
  IF(COUNTIF(Bozsa!$A$3:$A$5506, A185), Bozsa!$A$1, ),
  IF(COUNTIF(Felipe!$A$3:$A$5506, A185), Felipe!$A$1, ),
  IF(COUNTIF(Luan!$A$3:$A$5506, A185), Luan!$A$1, ),
  IF(COUNTIF(Ray!$A$3:$A$5506, A185), Ray!$A$1, ),
  IF(COUNTIF(Raul!$A$3:$A$5506, A185), Raul!$A$1, ),
  IF(COUNTIF(Ricardo!$A$3:$A$5506, A185), Ricardo!$A$1, ),
  IF(COUNTIF(pixote!$A$3:$A$5506, A185), pixote!$A$1, ),
  IF(COUNTIF(Lucas!$A$3:$A$5506, A185), Lucas!$A$1, ),
  IF(COUNTIF(Will!$A$3:$A$5506, A185), Will!$A$1, )
)
</f>
        <v>RAY, Ricardo (Coveiro), WILL</v>
      </c>
    </row>
    <row r="186">
      <c r="B186" s="35" t="str">
        <f>TEXTJOIN(", ", TRUE,
  IF(COUNTIF(Angela!$A$3:$A$5506, A186), Angela!$A$1, ),
  IF(COUNTIF(Rayreis!$A$3:$A$5506, A186), Rayreis!$A$1, ),
  IF(COUNTIF('Bruno bizarro'!$A$3:$A$5506, A186), 'Bruno bizarro'!$A$1, ),
  IF(COUNTIF(Bozsa!$A$3:$A$5506, A186), Bozsa!$A$1, ),
  IF(COUNTIF(Felipe!$A$3:$A$5506, A186), Felipe!$A$1, ),
  IF(COUNTIF(Luan!$A$3:$A$5506, A186), Luan!$A$1, ),
  IF(COUNTIF(Ray!$A$3:$A$5506, A186), Ray!$A$1, ),
  IF(COUNTIF(Raul!$A$3:$A$5506, A186), Raul!$A$1, ),
  IF(COUNTIF(Ricardo!$A$3:$A$5506, A186), Ricardo!$A$1, ),
  IF(COUNTIF(pixote!$A$3:$A$5506, A186), pixote!$A$1, ),
  IF(COUNTIF(Lucas!$A$3:$A$5506, A186), Lucas!$A$1, ),
  IF(COUNTIF(Will!$A$3:$A$5506, A186), Will!$A$1, )
)
</f>
        <v/>
      </c>
    </row>
    <row r="187">
      <c r="B187" s="35" t="str">
        <f>TEXTJOIN(", ", TRUE,
  IF(COUNTIF(Angela!$A$3:$A$5506, A187), Angela!$A$1, ),
  IF(COUNTIF(Rayreis!$A$3:$A$5506, A187), Rayreis!$A$1, ),
  IF(COUNTIF('Bruno bizarro'!$A$3:$A$5506, A187), 'Bruno bizarro'!$A$1, ),
  IF(COUNTIF(Bozsa!$A$3:$A$5506, A187), Bozsa!$A$1, ),
  IF(COUNTIF(Felipe!$A$3:$A$5506, A187), Felipe!$A$1, ),
  IF(COUNTIF(Luan!$A$3:$A$5506, A187), Luan!$A$1, ),
  IF(COUNTIF(Ray!$A$3:$A$5506, A187), Ray!$A$1, ),
  IF(COUNTIF(Raul!$A$3:$A$5506, A187), Raul!$A$1, ),
  IF(COUNTIF(Ricardo!$A$3:$A$5506, A187), Ricardo!$A$1, ),
  IF(COUNTIF(pixote!$A$3:$A$5506, A187), pixote!$A$1, ),
  IF(COUNTIF(Lucas!$A$3:$A$5506, A187), Lucas!$A$1, ),
  IF(COUNTIF(Will!$A$3:$A$5506, A187), Will!$A$1, )
)
</f>
        <v/>
      </c>
    </row>
    <row r="188">
      <c r="B188" s="35" t="str">
        <f>TEXTJOIN(", ", TRUE,
  IF(COUNTIF(Angela!$A$3:$A$5506, A188), Angela!$A$1, ),
  IF(COUNTIF(Rayreis!$A$3:$A$5506, A188), Rayreis!$A$1, ),
  IF(COUNTIF('Bruno bizarro'!$A$3:$A$5506, A188), 'Bruno bizarro'!$A$1, ),
  IF(COUNTIF(Bozsa!$A$3:$A$5506, A188), Bozsa!$A$1, ),
  IF(COUNTIF(Felipe!$A$3:$A$5506, A188), Felipe!$A$1, ),
  IF(COUNTIF(Luan!$A$3:$A$5506, A188), Luan!$A$1, ),
  IF(COUNTIF(Ray!$A$3:$A$5506, A188), Ray!$A$1, ),
  IF(COUNTIF(Raul!$A$3:$A$5506, A188), Raul!$A$1, ),
  IF(COUNTIF(Ricardo!$A$3:$A$5506, A188), Ricardo!$A$1, ),
  IF(COUNTIF(pixote!$A$3:$A$5506, A188), pixote!$A$1, ),
  IF(COUNTIF(Lucas!$A$3:$A$5506, A188), Lucas!$A$1, ),
  IF(COUNTIF(Will!$A$3:$A$5506, A188), Will!$A$1, )
)
</f>
        <v/>
      </c>
    </row>
    <row r="189">
      <c r="B189" s="35" t="str">
        <f>TEXTJOIN(", ", TRUE,
  IF(COUNTIF(Angela!$A$3:$A$5506, A189), Angela!$A$1, ),
  IF(COUNTIF(Rayreis!$A$3:$A$5506, A189), Rayreis!$A$1, ),
  IF(COUNTIF('Bruno bizarro'!$A$3:$A$5506, A189), 'Bruno bizarro'!$A$1, ),
  IF(COUNTIF(Bozsa!$A$3:$A$5506, A189), Bozsa!$A$1, ),
  IF(COUNTIF(Felipe!$A$3:$A$5506, A189), Felipe!$A$1, ),
  IF(COUNTIF(Luan!$A$3:$A$5506, A189), Luan!$A$1, ),
  IF(COUNTIF(Ray!$A$3:$A$5506, A189), Ray!$A$1, ),
  IF(COUNTIF(Raul!$A$3:$A$5506, A189), Raul!$A$1, ),
  IF(COUNTIF(Ricardo!$A$3:$A$5506, A189), Ricardo!$A$1, ),
  IF(COUNTIF(pixote!$A$3:$A$5506, A189), pixote!$A$1, ),
  IF(COUNTIF(Lucas!$A$3:$A$5506, A189), Lucas!$A$1, ),
  IF(COUNTIF(Will!$A$3:$A$5506, A189), Will!$A$1, )
)
</f>
        <v/>
      </c>
    </row>
    <row r="190">
      <c r="B190" s="35" t="str">
        <f>TEXTJOIN(", ", TRUE,
  IF(COUNTIF(Angela!$A$3:$A$5506, A190), Angela!$A$1, ),
  IF(COUNTIF(Rayreis!$A$3:$A$5506, A190), Rayreis!$A$1, ),
  IF(COUNTIF('Bruno bizarro'!$A$3:$A$5506, A190), 'Bruno bizarro'!$A$1, ),
  IF(COUNTIF(Bozsa!$A$3:$A$5506, A190), Bozsa!$A$1, ),
  IF(COUNTIF(Felipe!$A$3:$A$5506, A190), Felipe!$A$1, ),
  IF(COUNTIF(Luan!$A$3:$A$5506, A190), Luan!$A$1, ),
  IF(COUNTIF(Ray!$A$3:$A$5506, A190), Ray!$A$1, ),
  IF(COUNTIF(Raul!$A$3:$A$5506, A190), Raul!$A$1, ),
  IF(COUNTIF(Ricardo!$A$3:$A$5506, A190), Ricardo!$A$1, ),
  IF(COUNTIF(pixote!$A$3:$A$5506, A190), pixote!$A$1, ),
  IF(COUNTIF(Lucas!$A$3:$A$5506, A190), Lucas!$A$1, ),
  IF(COUNTIF(Will!$A$3:$A$5506, A190), Will!$A$1, )
)
</f>
        <v/>
      </c>
    </row>
    <row r="191">
      <c r="B191" s="34" t="str">
        <f>TEXTJOIN(", ", TRUE,
  IF(COUNTIF(Angela!$A$3:$A$5506, A191), Angela!$A$1, ),
  IF(COUNTIF(Rayreis!$A$3:$A$5506, A191), Rayreis!$A$1, ),
  IF(COUNTIF('Bruno bizarro'!$A$3:$A$5506, A191), 'Bruno bizarro'!$A$1, ),
  IF(COUNTIF(Bozsa!$A$3:$A$5506, A191), Bozsa!$A$1, ),
  IF(COUNTIF(Felipe!$A$3:$A$5506, A191), Felipe!$A$1, ),
  IF(COUNTIF(Luan!$A$3:$A$5506, A191), Luan!$A$1, ),
  IF(COUNTIF(Ray!$A$3:$A$5506, A191), Ray!$A$1, ),
  IF(COUNTIF(Raul!$A$3:$A$5506, A191), Raul!$A$1, ),
  IF(COUNTIF(Ricardo!$A$3:$A$5506, A191), Ricardo!$A$1, ),
  IF(COUNTIF(pixote!$A$3:$A$5506, A191), pixote!$A$1, ),
  IF(COUNTIF(Lucas!$A$3:$A$5506, A191), Lucas!$A$1, ),
  IF(COUNTIF(Will!$A$3:$A$5506, A191), Will!$A$1, )
)
</f>
        <v/>
      </c>
    </row>
    <row r="192">
      <c r="B192" s="34" t="str">
        <f>TEXTJOIN(", ", TRUE,
  IF(COUNTIF(Angela!$A$3:$A$5506, A192), Angela!$A$1, ),
  IF(COUNTIF(Rayreis!$A$3:$A$5506, A192), Rayreis!$A$1, ),
  IF(COUNTIF('Bruno bizarro'!$A$3:$A$5506, A192), 'Bruno bizarro'!$A$1, ),
  IF(COUNTIF(Bozsa!$A$3:$A$5506, A192), Bozsa!$A$1, ),
  IF(COUNTIF(Felipe!$A$3:$A$5506, A192), Felipe!$A$1, ),
  IF(COUNTIF(Luan!$A$3:$A$5506, A192), Luan!$A$1, ),
  IF(COUNTIF(Ray!$A$3:$A$5506, A192), Ray!$A$1, ),
  IF(COUNTIF(Raul!$A$3:$A$5506, A192), Raul!$A$1, ),
  IF(COUNTIF(Ricardo!$A$3:$A$5506, A192), Ricardo!$A$1, ),
  IF(COUNTIF(pixote!$A$3:$A$5506, A192), pixote!$A$1, ),
  IF(COUNTIF(Lucas!$A$3:$A$5506, A192), Lucas!$A$1, ),
  IF(COUNTIF(Will!$A$3:$A$5506, A192), Will!$A$1, )
)
</f>
        <v/>
      </c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  <row r="1001">
      <c r="B1001" s="34"/>
    </row>
    <row r="1002">
      <c r="B1002" s="34"/>
    </row>
    <row r="1003">
      <c r="B1003" s="34"/>
    </row>
    <row r="1004">
      <c r="B1004" s="34"/>
    </row>
    <row r="1005">
      <c r="B1005" s="34"/>
    </row>
    <row r="1006">
      <c r="B1006" s="34"/>
    </row>
    <row r="1007">
      <c r="B1007" s="34"/>
    </row>
    <row r="1008">
      <c r="B1008" s="34"/>
    </row>
    <row r="1009">
      <c r="B1009" s="34"/>
    </row>
    <row r="1010">
      <c r="B1010" s="34"/>
    </row>
    <row r="1011">
      <c r="B1011" s="34"/>
    </row>
    <row r="1012">
      <c r="B1012" s="34"/>
    </row>
    <row r="1013">
      <c r="B1013" s="34"/>
    </row>
    <row r="1014">
      <c r="B1014" s="34"/>
    </row>
    <row r="1015">
      <c r="B1015" s="34"/>
    </row>
    <row r="1016">
      <c r="B1016" s="34"/>
    </row>
    <row r="1017">
      <c r="B1017" s="34"/>
    </row>
    <row r="1018">
      <c r="B1018" s="34"/>
    </row>
    <row r="1019">
      <c r="B1019" s="34"/>
    </row>
    <row r="1020">
      <c r="B1020" s="34"/>
    </row>
    <row r="1021">
      <c r="B1021" s="34"/>
    </row>
    <row r="1022">
      <c r="B1022" s="34"/>
    </row>
    <row r="1023">
      <c r="B1023" s="34"/>
    </row>
    <row r="1024">
      <c r="B1024" s="34"/>
    </row>
    <row r="1025">
      <c r="B1025" s="34"/>
    </row>
    <row r="1026">
      <c r="B1026" s="34"/>
    </row>
    <row r="1027">
      <c r="B1027" s="34"/>
    </row>
    <row r="1028">
      <c r="B1028" s="34"/>
    </row>
    <row r="1029">
      <c r="B1029" s="34"/>
    </row>
    <row r="1030">
      <c r="B1030" s="34"/>
    </row>
    <row r="1031">
      <c r="B1031" s="34"/>
    </row>
    <row r="1032">
      <c r="B1032" s="34"/>
    </row>
    <row r="1033">
      <c r="B1033" s="34"/>
    </row>
    <row r="1034">
      <c r="B1034" s="34"/>
    </row>
    <row r="1035">
      <c r="B1035" s="34"/>
    </row>
    <row r="1036">
      <c r="B1036" s="34"/>
    </row>
    <row r="1037">
      <c r="B1037" s="34"/>
    </row>
    <row r="1038">
      <c r="B1038" s="34"/>
    </row>
    <row r="1039">
      <c r="B1039" s="34"/>
    </row>
    <row r="1040">
      <c r="B1040" s="34"/>
    </row>
    <row r="1041">
      <c r="B1041" s="34"/>
    </row>
    <row r="1042">
      <c r="B1042" s="34"/>
    </row>
    <row r="1043">
      <c r="B1043" s="34"/>
    </row>
    <row r="1044">
      <c r="B1044" s="34"/>
    </row>
    <row r="1045">
      <c r="B1045" s="34"/>
    </row>
    <row r="1046">
      <c r="B1046" s="34"/>
    </row>
    <row r="1047">
      <c r="B1047" s="34"/>
    </row>
    <row r="1048">
      <c r="B1048" s="34"/>
    </row>
    <row r="1049">
      <c r="B1049" s="34"/>
    </row>
    <row r="1050">
      <c r="B1050" s="34"/>
    </row>
    <row r="1051">
      <c r="B1051" s="34"/>
    </row>
    <row r="1052">
      <c r="B1052" s="34"/>
    </row>
    <row r="1053">
      <c r="B1053" s="34"/>
    </row>
    <row r="1054">
      <c r="B1054" s="34"/>
    </row>
    <row r="1055">
      <c r="B1055" s="34"/>
    </row>
    <row r="1056">
      <c r="B1056" s="34"/>
    </row>
    <row r="1057">
      <c r="B1057" s="34"/>
    </row>
    <row r="1058">
      <c r="B1058" s="34"/>
    </row>
    <row r="1059">
      <c r="B1059" s="34"/>
    </row>
    <row r="1060">
      <c r="B1060" s="34"/>
    </row>
    <row r="1061">
      <c r="B1061" s="34"/>
    </row>
    <row r="1062">
      <c r="B1062" s="34"/>
    </row>
    <row r="1063">
      <c r="B1063" s="34"/>
    </row>
    <row r="1064">
      <c r="B1064" s="34"/>
    </row>
    <row r="1065">
      <c r="B1065" s="34"/>
    </row>
    <row r="1066">
      <c r="B1066" s="34"/>
    </row>
    <row r="1067">
      <c r="B1067" s="34"/>
    </row>
    <row r="1068">
      <c r="B1068" s="34"/>
    </row>
    <row r="1069">
      <c r="B1069" s="34"/>
    </row>
    <row r="1070">
      <c r="B1070" s="34"/>
    </row>
    <row r="1071">
      <c r="B1071" s="34"/>
    </row>
    <row r="1072">
      <c r="B1072" s="34"/>
    </row>
    <row r="1073">
      <c r="B1073" s="34"/>
    </row>
    <row r="1074">
      <c r="B1074" s="34"/>
    </row>
    <row r="1075">
      <c r="B1075" s="34"/>
    </row>
    <row r="1076">
      <c r="B1076" s="34"/>
    </row>
    <row r="1077">
      <c r="B1077" s="34"/>
    </row>
    <row r="1078">
      <c r="B1078" s="34"/>
    </row>
    <row r="1079">
      <c r="B1079" s="34"/>
    </row>
    <row r="1080">
      <c r="B1080" s="34"/>
    </row>
    <row r="1081">
      <c r="B1081" s="34"/>
    </row>
    <row r="1082">
      <c r="B1082" s="34"/>
    </row>
    <row r="1083">
      <c r="B1083" s="34"/>
    </row>
    <row r="1084">
      <c r="B1084" s="34"/>
    </row>
    <row r="1085">
      <c r="B1085" s="34"/>
    </row>
    <row r="1086">
      <c r="B1086" s="34"/>
    </row>
    <row r="1087">
      <c r="B1087" s="34"/>
    </row>
    <row r="1088">
      <c r="B1088" s="34"/>
    </row>
    <row r="1089">
      <c r="B1089" s="34"/>
    </row>
    <row r="1090">
      <c r="B1090" s="34"/>
    </row>
    <row r="1091">
      <c r="B1091" s="34"/>
    </row>
    <row r="1092">
      <c r="B1092" s="34"/>
    </row>
    <row r="1093">
      <c r="B1093" s="34"/>
    </row>
    <row r="1094">
      <c r="B1094" s="34"/>
    </row>
    <row r="1095">
      <c r="B1095" s="34"/>
    </row>
    <row r="1096">
      <c r="B1096" s="34"/>
    </row>
    <row r="1097">
      <c r="B1097" s="34"/>
    </row>
    <row r="1098">
      <c r="B1098" s="34"/>
    </row>
    <row r="1099">
      <c r="B1099" s="34"/>
    </row>
    <row r="1100">
      <c r="B1100" s="34"/>
    </row>
    <row r="1101">
      <c r="B1101" s="34"/>
    </row>
    <row r="1102">
      <c r="B1102" s="34"/>
    </row>
    <row r="1103">
      <c r="B1103" s="34"/>
    </row>
    <row r="1104">
      <c r="B1104" s="34"/>
    </row>
    <row r="1105">
      <c r="B1105" s="34"/>
    </row>
    <row r="1106">
      <c r="B1106" s="34"/>
    </row>
    <row r="1107">
      <c r="B1107" s="34"/>
    </row>
    <row r="1108">
      <c r="B1108" s="34"/>
    </row>
    <row r="1109">
      <c r="B1109" s="34"/>
    </row>
    <row r="1110">
      <c r="B1110" s="34"/>
    </row>
    <row r="1111">
      <c r="B1111" s="34"/>
    </row>
    <row r="1112">
      <c r="B1112" s="34"/>
    </row>
    <row r="1113">
      <c r="B1113" s="34"/>
    </row>
    <row r="1114">
      <c r="B1114" s="34"/>
    </row>
    <row r="1115">
      <c r="B1115" s="34"/>
    </row>
    <row r="1116">
      <c r="B1116" s="34"/>
    </row>
    <row r="1117">
      <c r="B1117" s="34"/>
    </row>
    <row r="1118">
      <c r="B1118" s="34"/>
    </row>
    <row r="1119">
      <c r="B1119" s="34"/>
    </row>
    <row r="1120">
      <c r="B1120" s="34"/>
    </row>
    <row r="1121">
      <c r="B1121" s="34"/>
    </row>
    <row r="1122">
      <c r="B1122" s="34"/>
    </row>
    <row r="1123">
      <c r="B1123" s="34"/>
    </row>
    <row r="1124">
      <c r="B1124" s="34"/>
    </row>
    <row r="1125">
      <c r="B1125" s="34"/>
    </row>
    <row r="1126">
      <c r="B1126" s="34"/>
    </row>
    <row r="1127">
      <c r="B1127" s="34"/>
    </row>
    <row r="1128">
      <c r="B1128" s="34"/>
    </row>
    <row r="1129">
      <c r="B1129" s="34"/>
    </row>
    <row r="1130">
      <c r="B1130" s="34"/>
    </row>
    <row r="1131">
      <c r="B1131" s="34"/>
    </row>
    <row r="1132">
      <c r="B1132" s="34"/>
    </row>
    <row r="1133">
      <c r="B1133" s="34"/>
    </row>
    <row r="1134">
      <c r="B1134" s="34"/>
    </row>
    <row r="1135">
      <c r="B1135" s="34"/>
    </row>
    <row r="1136">
      <c r="B1136" s="34"/>
    </row>
    <row r="1137">
      <c r="B1137" s="34"/>
    </row>
    <row r="1138">
      <c r="B1138" s="34"/>
    </row>
    <row r="1139">
      <c r="B1139" s="34"/>
    </row>
    <row r="1140">
      <c r="B1140" s="34"/>
    </row>
    <row r="1141">
      <c r="B1141" s="34"/>
    </row>
    <row r="1142">
      <c r="B1142" s="34"/>
    </row>
    <row r="1143">
      <c r="B1143" s="34"/>
    </row>
    <row r="1144">
      <c r="B1144" s="34"/>
    </row>
    <row r="1145">
      <c r="B1145" s="34"/>
    </row>
    <row r="1146">
      <c r="B1146" s="34"/>
    </row>
    <row r="1147">
      <c r="B1147" s="34"/>
    </row>
    <row r="1148">
      <c r="B1148" s="34"/>
    </row>
    <row r="1149">
      <c r="B1149" s="34"/>
    </row>
    <row r="1150">
      <c r="B1150" s="34"/>
    </row>
    <row r="1151">
      <c r="B1151" s="34"/>
    </row>
    <row r="1152">
      <c r="B1152" s="34"/>
    </row>
    <row r="1153">
      <c r="B1153" s="34"/>
    </row>
    <row r="1154">
      <c r="B1154" s="34"/>
    </row>
    <row r="1155">
      <c r="B1155" s="34"/>
    </row>
    <row r="1156">
      <c r="B1156" s="34"/>
    </row>
    <row r="1157">
      <c r="B1157" s="34"/>
    </row>
    <row r="1158">
      <c r="B1158" s="34"/>
    </row>
    <row r="1159">
      <c r="B1159" s="34"/>
    </row>
    <row r="1160">
      <c r="B1160" s="34"/>
    </row>
    <row r="1161">
      <c r="B1161" s="34"/>
    </row>
    <row r="1162">
      <c r="B1162" s="34"/>
    </row>
    <row r="1163">
      <c r="B1163" s="34"/>
    </row>
    <row r="1164">
      <c r="B1164" s="34"/>
    </row>
    <row r="1165">
      <c r="B1165" s="34"/>
    </row>
    <row r="1166">
      <c r="B1166" s="34"/>
    </row>
    <row r="1167">
      <c r="B1167" s="34"/>
    </row>
    <row r="1168">
      <c r="B1168" s="34"/>
    </row>
    <row r="1169">
      <c r="B1169" s="34"/>
    </row>
    <row r="1170">
      <c r="B1170" s="34"/>
    </row>
    <row r="1171">
      <c r="B1171" s="34"/>
    </row>
    <row r="1172">
      <c r="B1172" s="34"/>
    </row>
    <row r="1173">
      <c r="B1173" s="34"/>
    </row>
    <row r="1174">
      <c r="B1174" s="34"/>
    </row>
    <row r="1175">
      <c r="B1175" s="34"/>
    </row>
    <row r="1176">
      <c r="B1176" s="34"/>
    </row>
    <row r="1177">
      <c r="B1177" s="34"/>
    </row>
    <row r="1178">
      <c r="B1178" s="34"/>
    </row>
    <row r="1179">
      <c r="B1179" s="34"/>
    </row>
    <row r="1180">
      <c r="B1180" s="34"/>
    </row>
    <row r="1181">
      <c r="B1181" s="34"/>
    </row>
    <row r="1182">
      <c r="B1182" s="34"/>
    </row>
    <row r="1183">
      <c r="B1183" s="34"/>
    </row>
    <row r="1184">
      <c r="B1184" s="34"/>
    </row>
    <row r="1185">
      <c r="B1185" s="34"/>
    </row>
    <row r="1186">
      <c r="B1186" s="34"/>
    </row>
    <row r="1187">
      <c r="B1187" s="34"/>
    </row>
    <row r="1188">
      <c r="B1188" s="34"/>
    </row>
    <row r="1189">
      <c r="B1189" s="34"/>
    </row>
    <row r="1190">
      <c r="B1190" s="34"/>
    </row>
    <row r="1191">
      <c r="B1191" s="34"/>
    </row>
    <row r="1192">
      <c r="B1192" s="34"/>
    </row>
    <row r="1193">
      <c r="B1193" s="34"/>
    </row>
    <row r="1194">
      <c r="B1194" s="34"/>
    </row>
    <row r="1195">
      <c r="B1195" s="34"/>
    </row>
    <row r="1196">
      <c r="B1196" s="34"/>
    </row>
    <row r="1197">
      <c r="B1197" s="34"/>
    </row>
    <row r="1198">
      <c r="B1198" s="34"/>
    </row>
    <row r="1199">
      <c r="B1199" s="34"/>
    </row>
    <row r="1200">
      <c r="B1200" s="34"/>
    </row>
    <row r="1201">
      <c r="B1201" s="34"/>
    </row>
    <row r="1202">
      <c r="B1202" s="34"/>
    </row>
    <row r="1203">
      <c r="B1203" s="34"/>
    </row>
    <row r="1204">
      <c r="B1204" s="34"/>
    </row>
    <row r="1205">
      <c r="B1205" s="34"/>
    </row>
    <row r="1206">
      <c r="B1206" s="34"/>
    </row>
    <row r="1207">
      <c r="B1207" s="34"/>
    </row>
    <row r="1208">
      <c r="B1208" s="34"/>
    </row>
    <row r="1209">
      <c r="B1209" s="34"/>
    </row>
    <row r="1210">
      <c r="B1210" s="34"/>
    </row>
    <row r="1211">
      <c r="B1211" s="34"/>
    </row>
    <row r="1212">
      <c r="B1212" s="34"/>
    </row>
    <row r="1213">
      <c r="B1213" s="34"/>
    </row>
    <row r="1214">
      <c r="B1214" s="34"/>
    </row>
    <row r="1215">
      <c r="B1215" s="34"/>
    </row>
    <row r="1216">
      <c r="B1216" s="34"/>
    </row>
    <row r="1217">
      <c r="B1217" s="34"/>
    </row>
    <row r="1218">
      <c r="B1218" s="34"/>
    </row>
    <row r="1219">
      <c r="B1219" s="34"/>
    </row>
    <row r="1220">
      <c r="B1220" s="34"/>
    </row>
    <row r="1221">
      <c r="B1221" s="34"/>
    </row>
    <row r="1222">
      <c r="B1222" s="34"/>
    </row>
    <row r="1223">
      <c r="B1223" s="34"/>
    </row>
    <row r="1224">
      <c r="B1224" s="34"/>
    </row>
    <row r="1225">
      <c r="B1225" s="34"/>
    </row>
    <row r="1226">
      <c r="B1226" s="34"/>
    </row>
    <row r="1227">
      <c r="B1227" s="34"/>
    </row>
    <row r="1228">
      <c r="B1228" s="34"/>
    </row>
    <row r="1229">
      <c r="B1229" s="34"/>
    </row>
    <row r="1230">
      <c r="B1230" s="34"/>
    </row>
    <row r="1231">
      <c r="B1231" s="34"/>
    </row>
    <row r="1232">
      <c r="B1232" s="34"/>
    </row>
    <row r="1233">
      <c r="B1233" s="34"/>
    </row>
    <row r="1234">
      <c r="B1234" s="34"/>
    </row>
    <row r="1235">
      <c r="B1235" s="34"/>
    </row>
    <row r="1236">
      <c r="B1236" s="34"/>
    </row>
    <row r="1237">
      <c r="B1237" s="34"/>
    </row>
    <row r="1238">
      <c r="B1238" s="34"/>
    </row>
    <row r="1239">
      <c r="B1239" s="34"/>
    </row>
    <row r="1240">
      <c r="B1240" s="34"/>
    </row>
    <row r="1241">
      <c r="B1241" s="34"/>
    </row>
    <row r="1242">
      <c r="B1242" s="34"/>
    </row>
    <row r="1243">
      <c r="B1243" s="34"/>
    </row>
    <row r="1244">
      <c r="B1244" s="34"/>
    </row>
    <row r="1245">
      <c r="B1245" s="34"/>
    </row>
    <row r="1246">
      <c r="B1246" s="34"/>
    </row>
    <row r="1247">
      <c r="B1247" s="34"/>
    </row>
    <row r="1248">
      <c r="B1248" s="34"/>
    </row>
    <row r="1249">
      <c r="B1249" s="34"/>
    </row>
    <row r="1250">
      <c r="B1250" s="34"/>
    </row>
    <row r="1251">
      <c r="B1251" s="34"/>
    </row>
    <row r="1252">
      <c r="B1252" s="34"/>
    </row>
    <row r="1253">
      <c r="B1253" s="34"/>
    </row>
    <row r="1254">
      <c r="B1254" s="34"/>
    </row>
    <row r="1255">
      <c r="B1255" s="34"/>
    </row>
    <row r="1256">
      <c r="B1256" s="34"/>
    </row>
    <row r="1257">
      <c r="B1257" s="34"/>
    </row>
    <row r="1258">
      <c r="B1258" s="34"/>
    </row>
    <row r="1259">
      <c r="B1259" s="34"/>
    </row>
    <row r="1260">
      <c r="B1260" s="34"/>
    </row>
    <row r="1261">
      <c r="B1261" s="34"/>
    </row>
    <row r="1262">
      <c r="B1262" s="34"/>
    </row>
    <row r="1263">
      <c r="B1263" s="34"/>
    </row>
    <row r="1264">
      <c r="B1264" s="34"/>
    </row>
    <row r="1265">
      <c r="B1265" s="34"/>
    </row>
    <row r="1266">
      <c r="B1266" s="34"/>
    </row>
    <row r="1267">
      <c r="B1267" s="34"/>
    </row>
    <row r="1268">
      <c r="B1268" s="34"/>
    </row>
    <row r="1269">
      <c r="B1269" s="34"/>
    </row>
    <row r="1270">
      <c r="B1270" s="34"/>
    </row>
    <row r="1271">
      <c r="B1271" s="34"/>
    </row>
    <row r="1272">
      <c r="B1272" s="34"/>
    </row>
    <row r="1273">
      <c r="B1273" s="34"/>
    </row>
    <row r="1274">
      <c r="B1274" s="34"/>
    </row>
    <row r="1275">
      <c r="B1275" s="34"/>
    </row>
    <row r="1276">
      <c r="B1276" s="34"/>
    </row>
    <row r="1277">
      <c r="B1277" s="34"/>
    </row>
    <row r="1278">
      <c r="B1278" s="34"/>
    </row>
    <row r="1279">
      <c r="B1279" s="34"/>
    </row>
    <row r="1280">
      <c r="B1280" s="34"/>
    </row>
    <row r="1281">
      <c r="B1281" s="34"/>
    </row>
    <row r="1282">
      <c r="B1282" s="34"/>
    </row>
    <row r="1283">
      <c r="B1283" s="34"/>
    </row>
    <row r="1284">
      <c r="B1284" s="34"/>
    </row>
    <row r="1285">
      <c r="B1285" s="34"/>
    </row>
    <row r="1286">
      <c r="B1286" s="34"/>
    </row>
    <row r="1287">
      <c r="B1287" s="34"/>
    </row>
    <row r="1288">
      <c r="B1288" s="34"/>
    </row>
    <row r="1289">
      <c r="B1289" s="34"/>
    </row>
    <row r="1290">
      <c r="B1290" s="34"/>
    </row>
    <row r="1291">
      <c r="B1291" s="34"/>
    </row>
    <row r="1292">
      <c r="B1292" s="34"/>
    </row>
    <row r="1293">
      <c r="B1293" s="34"/>
    </row>
    <row r="1294">
      <c r="B1294" s="34"/>
    </row>
    <row r="1295">
      <c r="B1295" s="34"/>
    </row>
    <row r="1296">
      <c r="B1296" s="34"/>
    </row>
    <row r="1297">
      <c r="B1297" s="34"/>
    </row>
    <row r="1298">
      <c r="B1298" s="34"/>
    </row>
    <row r="1299">
      <c r="B1299" s="34"/>
    </row>
    <row r="1300">
      <c r="B1300" s="34"/>
    </row>
    <row r="1301">
      <c r="B1301" s="34"/>
    </row>
    <row r="1302">
      <c r="B1302" s="34"/>
    </row>
    <row r="1303">
      <c r="B1303" s="34"/>
    </row>
    <row r="1304">
      <c r="B1304" s="34"/>
    </row>
    <row r="1305">
      <c r="B1305" s="34"/>
    </row>
    <row r="1306">
      <c r="B1306" s="34"/>
    </row>
    <row r="1307">
      <c r="B1307" s="34"/>
    </row>
    <row r="1308">
      <c r="B1308" s="34"/>
    </row>
    <row r="1309">
      <c r="B1309" s="34"/>
    </row>
    <row r="1310">
      <c r="B1310" s="34"/>
    </row>
    <row r="1311">
      <c r="B1311" s="34"/>
    </row>
    <row r="1312">
      <c r="B1312" s="34"/>
    </row>
    <row r="1313">
      <c r="B1313" s="34"/>
    </row>
    <row r="1314">
      <c r="B1314" s="34"/>
    </row>
    <row r="1315">
      <c r="B1315" s="34"/>
    </row>
    <row r="1316">
      <c r="B1316" s="34"/>
    </row>
    <row r="1317">
      <c r="B1317" s="34"/>
    </row>
    <row r="1318">
      <c r="B1318" s="34"/>
    </row>
    <row r="1319">
      <c r="B1319" s="34"/>
    </row>
    <row r="1320">
      <c r="B1320" s="34"/>
    </row>
    <row r="1321">
      <c r="B1321" s="34"/>
    </row>
    <row r="1322">
      <c r="B1322" s="34"/>
    </row>
    <row r="1323">
      <c r="B1323" s="34"/>
    </row>
    <row r="1324">
      <c r="B1324" s="34"/>
    </row>
    <row r="1325">
      <c r="B1325" s="34"/>
    </row>
    <row r="1326">
      <c r="B1326" s="34"/>
    </row>
    <row r="1327">
      <c r="B1327" s="34"/>
    </row>
    <row r="1328">
      <c r="B1328" s="34"/>
    </row>
    <row r="1329">
      <c r="B1329" s="34"/>
    </row>
    <row r="1330">
      <c r="B1330" s="34"/>
    </row>
    <row r="1331">
      <c r="B1331" s="34"/>
    </row>
    <row r="1332">
      <c r="B1332" s="34"/>
    </row>
    <row r="1333">
      <c r="B1333" s="34"/>
    </row>
    <row r="1334">
      <c r="B1334" s="34"/>
    </row>
    <row r="1335">
      <c r="B1335" s="34"/>
    </row>
    <row r="1336">
      <c r="B1336" s="34"/>
    </row>
    <row r="1337">
      <c r="B1337" s="34"/>
    </row>
    <row r="1338">
      <c r="B1338" s="34"/>
    </row>
    <row r="1339">
      <c r="B1339" s="34"/>
    </row>
    <row r="1340">
      <c r="B1340" s="34"/>
    </row>
    <row r="1341">
      <c r="B1341" s="34"/>
    </row>
    <row r="1342">
      <c r="B1342" s="34"/>
    </row>
    <row r="1343">
      <c r="B1343" s="34"/>
    </row>
    <row r="1344">
      <c r="B1344" s="34"/>
    </row>
    <row r="1345">
      <c r="B1345" s="34"/>
    </row>
    <row r="1346">
      <c r="B1346" s="34"/>
    </row>
    <row r="1347">
      <c r="B1347" s="34"/>
    </row>
    <row r="1348">
      <c r="B1348" s="34"/>
    </row>
    <row r="1349">
      <c r="B1349" s="34"/>
    </row>
    <row r="1350">
      <c r="B1350" s="34"/>
    </row>
    <row r="1351">
      <c r="B1351" s="34"/>
    </row>
    <row r="1352">
      <c r="B1352" s="34"/>
    </row>
    <row r="1353">
      <c r="B1353" s="34"/>
    </row>
    <row r="1354">
      <c r="B1354" s="34"/>
    </row>
    <row r="1355">
      <c r="B1355" s="34"/>
    </row>
    <row r="1356">
      <c r="B1356" s="34"/>
    </row>
    <row r="1357">
      <c r="B1357" s="34"/>
    </row>
    <row r="1358">
      <c r="B1358" s="34"/>
    </row>
    <row r="1359">
      <c r="B1359" s="34"/>
    </row>
    <row r="1360">
      <c r="B1360" s="34"/>
    </row>
    <row r="1361">
      <c r="B1361" s="34"/>
    </row>
    <row r="1362">
      <c r="B1362" s="34"/>
    </row>
    <row r="1363">
      <c r="B1363" s="34"/>
    </row>
    <row r="1364">
      <c r="B1364" s="34"/>
    </row>
    <row r="1365">
      <c r="B1365" s="34"/>
    </row>
    <row r="1366">
      <c r="B1366" s="34"/>
    </row>
    <row r="1367">
      <c r="B1367" s="34"/>
    </row>
    <row r="1368">
      <c r="B1368" s="34"/>
    </row>
    <row r="1369">
      <c r="B1369" s="34"/>
    </row>
    <row r="1370">
      <c r="B1370" s="34"/>
    </row>
    <row r="1371">
      <c r="B1371" s="34"/>
    </row>
    <row r="1372">
      <c r="B1372" s="34"/>
    </row>
    <row r="1373">
      <c r="B1373" s="34"/>
    </row>
    <row r="1374">
      <c r="B1374" s="34"/>
    </row>
    <row r="1375">
      <c r="B1375" s="34"/>
    </row>
    <row r="1376">
      <c r="B1376" s="34"/>
    </row>
    <row r="1377">
      <c r="B1377" s="34"/>
    </row>
    <row r="1378">
      <c r="B1378" s="34"/>
    </row>
    <row r="1379">
      <c r="B1379" s="34"/>
    </row>
    <row r="1380">
      <c r="B1380" s="34"/>
    </row>
    <row r="1381">
      <c r="B1381" s="34"/>
    </row>
    <row r="1382">
      <c r="B1382" s="34"/>
    </row>
    <row r="1383">
      <c r="B1383" s="34"/>
    </row>
    <row r="1384">
      <c r="B1384" s="34"/>
    </row>
    <row r="1385">
      <c r="B1385" s="34"/>
    </row>
    <row r="1386">
      <c r="B1386" s="34"/>
    </row>
    <row r="1387">
      <c r="B1387" s="34"/>
    </row>
    <row r="1388">
      <c r="B1388" s="34"/>
    </row>
    <row r="1389">
      <c r="B1389" s="34"/>
    </row>
    <row r="1390">
      <c r="B1390" s="34"/>
    </row>
    <row r="1391">
      <c r="B1391" s="34"/>
    </row>
    <row r="1392">
      <c r="B1392" s="34"/>
    </row>
    <row r="1393">
      <c r="B1393" s="34"/>
    </row>
    <row r="1394">
      <c r="B1394" s="34"/>
    </row>
    <row r="1395">
      <c r="B1395" s="34"/>
    </row>
    <row r="1396">
      <c r="B1396" s="34"/>
    </row>
    <row r="1397">
      <c r="B1397" s="34"/>
    </row>
    <row r="1398">
      <c r="B1398" s="34"/>
    </row>
    <row r="1399">
      <c r="B1399" s="34"/>
    </row>
    <row r="1400">
      <c r="B1400" s="34"/>
    </row>
    <row r="1401">
      <c r="B1401" s="34"/>
    </row>
    <row r="1402">
      <c r="B1402" s="34"/>
    </row>
    <row r="1403">
      <c r="B1403" s="34"/>
    </row>
    <row r="1404">
      <c r="B1404" s="34"/>
    </row>
    <row r="1405">
      <c r="B1405" s="34"/>
    </row>
    <row r="1406">
      <c r="B1406" s="34"/>
    </row>
    <row r="1407">
      <c r="B1407" s="34"/>
    </row>
    <row r="1408">
      <c r="B1408" s="34"/>
    </row>
    <row r="1409">
      <c r="B1409" s="34"/>
    </row>
    <row r="1410">
      <c r="B1410" s="34"/>
    </row>
    <row r="1411">
      <c r="B1411" s="34"/>
    </row>
    <row r="1412">
      <c r="B1412" s="34"/>
    </row>
    <row r="1413">
      <c r="B1413" s="34"/>
    </row>
    <row r="1414">
      <c r="B1414" s="34"/>
    </row>
    <row r="1415">
      <c r="B1415" s="34"/>
    </row>
    <row r="1416">
      <c r="B1416" s="34"/>
    </row>
    <row r="1417">
      <c r="B1417" s="34"/>
    </row>
    <row r="1418">
      <c r="B1418" s="34"/>
    </row>
    <row r="1419">
      <c r="B1419" s="34"/>
    </row>
    <row r="1420">
      <c r="B1420" s="34"/>
    </row>
    <row r="1421">
      <c r="B1421" s="34"/>
    </row>
    <row r="1422">
      <c r="B1422" s="34"/>
    </row>
    <row r="1423">
      <c r="B1423" s="34"/>
    </row>
    <row r="1424">
      <c r="B1424" s="34"/>
    </row>
    <row r="1425">
      <c r="B1425" s="34"/>
    </row>
    <row r="1426">
      <c r="B1426" s="34"/>
    </row>
    <row r="1427">
      <c r="B1427" s="34"/>
    </row>
    <row r="1428">
      <c r="B1428" s="34"/>
    </row>
    <row r="1429">
      <c r="B1429" s="34"/>
    </row>
    <row r="1430">
      <c r="B1430" s="34"/>
    </row>
    <row r="1431">
      <c r="B1431" s="34"/>
    </row>
    <row r="1432">
      <c r="B1432" s="34"/>
    </row>
    <row r="1433">
      <c r="B1433" s="34"/>
    </row>
    <row r="1434">
      <c r="B1434" s="34"/>
    </row>
    <row r="1435">
      <c r="B1435" s="34"/>
    </row>
    <row r="1436">
      <c r="B1436" s="34"/>
    </row>
    <row r="1437">
      <c r="B1437" s="34"/>
    </row>
    <row r="1438">
      <c r="B1438" s="34"/>
    </row>
    <row r="1439">
      <c r="B1439" s="34"/>
    </row>
    <row r="1440">
      <c r="B1440" s="34"/>
    </row>
    <row r="1441">
      <c r="B1441" s="34"/>
    </row>
    <row r="1442">
      <c r="B1442" s="34"/>
    </row>
    <row r="1443">
      <c r="B1443" s="34"/>
    </row>
    <row r="1444">
      <c r="B1444" s="34"/>
    </row>
    <row r="1445">
      <c r="B1445" s="34"/>
    </row>
    <row r="1446">
      <c r="B1446" s="34"/>
    </row>
    <row r="1447">
      <c r="B1447" s="34"/>
    </row>
    <row r="1448">
      <c r="B1448" s="34"/>
    </row>
    <row r="1449">
      <c r="B1449" s="34"/>
    </row>
    <row r="1450">
      <c r="B1450" s="34"/>
    </row>
    <row r="1451">
      <c r="B1451" s="34"/>
    </row>
    <row r="1452">
      <c r="B1452" s="34"/>
    </row>
    <row r="1453">
      <c r="B1453" s="34"/>
    </row>
    <row r="1454">
      <c r="B1454" s="34"/>
    </row>
    <row r="1455">
      <c r="B1455" s="34"/>
    </row>
    <row r="1456">
      <c r="B1456" s="34"/>
    </row>
    <row r="1457">
      <c r="B1457" s="34"/>
    </row>
    <row r="1458">
      <c r="B1458" s="34"/>
    </row>
    <row r="1459">
      <c r="B1459" s="34"/>
    </row>
    <row r="1460">
      <c r="B1460" s="34"/>
    </row>
    <row r="1461">
      <c r="B1461" s="34"/>
    </row>
    <row r="1462">
      <c r="B1462" s="34"/>
    </row>
    <row r="1463">
      <c r="B1463" s="34"/>
    </row>
    <row r="1464">
      <c r="B1464" s="34"/>
    </row>
    <row r="1465">
      <c r="B1465" s="34"/>
    </row>
    <row r="1466">
      <c r="B1466" s="34"/>
    </row>
    <row r="1467">
      <c r="B1467" s="34"/>
    </row>
    <row r="1468">
      <c r="B1468" s="34"/>
    </row>
    <row r="1469">
      <c r="B1469" s="34"/>
    </row>
    <row r="1470">
      <c r="B1470" s="34"/>
    </row>
    <row r="1471">
      <c r="B1471" s="34"/>
    </row>
    <row r="1472">
      <c r="B1472" s="34"/>
    </row>
    <row r="1473">
      <c r="B1473" s="34"/>
    </row>
    <row r="1474">
      <c r="B1474" s="34"/>
    </row>
    <row r="1475">
      <c r="B1475" s="34"/>
    </row>
    <row r="1476">
      <c r="B1476" s="34"/>
    </row>
    <row r="1477">
      <c r="B1477" s="34"/>
    </row>
    <row r="1478">
      <c r="B1478" s="34"/>
    </row>
    <row r="1479">
      <c r="B1479" s="34"/>
    </row>
    <row r="1480">
      <c r="B1480" s="34"/>
    </row>
    <row r="1481">
      <c r="B1481" s="34"/>
    </row>
    <row r="1482">
      <c r="B1482" s="34"/>
    </row>
    <row r="1483">
      <c r="B1483" s="34"/>
    </row>
    <row r="1484">
      <c r="B1484" s="34"/>
    </row>
    <row r="1485">
      <c r="B1485" s="34"/>
    </row>
    <row r="1486">
      <c r="B1486" s="34"/>
    </row>
    <row r="1487">
      <c r="B1487" s="34"/>
    </row>
    <row r="1488">
      <c r="B1488" s="34"/>
    </row>
    <row r="1489">
      <c r="B1489" s="34"/>
    </row>
    <row r="1490">
      <c r="B1490" s="34"/>
    </row>
    <row r="1491">
      <c r="B1491" s="34"/>
    </row>
    <row r="1492">
      <c r="B1492" s="34"/>
    </row>
    <row r="1493">
      <c r="B1493" s="34"/>
    </row>
    <row r="1494">
      <c r="B1494" s="34"/>
    </row>
    <row r="1495">
      <c r="B1495" s="34"/>
    </row>
    <row r="1496">
      <c r="B1496" s="34"/>
    </row>
    <row r="1497">
      <c r="B1497" s="34"/>
    </row>
    <row r="1498">
      <c r="B1498" s="34"/>
    </row>
    <row r="1499">
      <c r="B1499" s="34"/>
    </row>
    <row r="1500">
      <c r="B1500" s="34"/>
    </row>
    <row r="1501">
      <c r="B1501" s="34"/>
    </row>
    <row r="1502">
      <c r="B1502" s="34"/>
    </row>
    <row r="1503">
      <c r="B1503" s="34"/>
    </row>
    <row r="1504">
      <c r="B1504" s="34"/>
    </row>
    <row r="1505">
      <c r="B1505" s="34"/>
    </row>
    <row r="1506">
      <c r="B1506" s="34"/>
    </row>
    <row r="1507">
      <c r="B1507" s="34"/>
    </row>
    <row r="1508">
      <c r="B1508" s="34"/>
    </row>
    <row r="1509">
      <c r="B1509" s="34"/>
    </row>
    <row r="1510">
      <c r="B1510" s="34"/>
    </row>
    <row r="1511">
      <c r="B1511" s="34"/>
    </row>
    <row r="1512">
      <c r="B1512" s="34"/>
    </row>
    <row r="1513">
      <c r="B1513" s="34"/>
    </row>
    <row r="1514">
      <c r="B1514" s="34"/>
    </row>
    <row r="1515">
      <c r="B1515" s="34"/>
    </row>
    <row r="1516">
      <c r="B1516" s="34"/>
    </row>
    <row r="1517">
      <c r="B1517" s="34"/>
    </row>
    <row r="1518">
      <c r="B1518" s="34"/>
    </row>
    <row r="1519">
      <c r="B1519" s="34"/>
    </row>
    <row r="1520">
      <c r="B1520" s="34"/>
    </row>
    <row r="1521">
      <c r="B1521" s="34"/>
    </row>
    <row r="1522">
      <c r="B1522" s="34"/>
    </row>
    <row r="1523">
      <c r="B1523" s="34"/>
    </row>
    <row r="1524">
      <c r="B1524" s="34"/>
    </row>
    <row r="1525">
      <c r="B1525" s="34"/>
    </row>
    <row r="1526">
      <c r="B1526" s="34"/>
    </row>
    <row r="1527">
      <c r="B1527" s="34"/>
    </row>
    <row r="1528">
      <c r="B1528" s="34"/>
    </row>
    <row r="1529">
      <c r="B1529" s="34"/>
    </row>
    <row r="1530">
      <c r="B1530" s="34"/>
    </row>
    <row r="1531">
      <c r="B1531" s="34"/>
    </row>
    <row r="1532">
      <c r="B1532" s="34"/>
    </row>
    <row r="1533">
      <c r="B1533" s="34"/>
    </row>
    <row r="1534">
      <c r="B1534" s="34"/>
    </row>
    <row r="1535">
      <c r="B1535" s="34"/>
    </row>
    <row r="1536">
      <c r="B1536" s="34"/>
    </row>
    <row r="1537">
      <c r="B1537" s="34"/>
    </row>
    <row r="1538">
      <c r="B1538" s="34"/>
    </row>
    <row r="1539">
      <c r="B1539" s="34"/>
    </row>
    <row r="1540">
      <c r="B1540" s="34"/>
    </row>
    <row r="1541">
      <c r="B1541" s="34"/>
    </row>
    <row r="1542">
      <c r="B1542" s="34"/>
    </row>
    <row r="1543">
      <c r="B1543" s="34"/>
    </row>
    <row r="1544">
      <c r="B1544" s="34"/>
    </row>
    <row r="1545">
      <c r="B1545" s="34"/>
    </row>
    <row r="1546">
      <c r="B1546" s="34"/>
    </row>
    <row r="1547">
      <c r="B1547" s="34"/>
    </row>
    <row r="1548">
      <c r="B1548" s="34"/>
    </row>
    <row r="1549">
      <c r="B1549" s="34"/>
    </row>
    <row r="1550">
      <c r="B1550" s="34"/>
    </row>
    <row r="1551">
      <c r="B1551" s="34"/>
    </row>
    <row r="1552">
      <c r="B1552" s="34"/>
    </row>
    <row r="1553">
      <c r="B1553" s="34"/>
    </row>
    <row r="1554">
      <c r="B1554" s="34"/>
    </row>
    <row r="1555">
      <c r="B1555" s="34"/>
    </row>
    <row r="1556">
      <c r="B1556" s="34"/>
    </row>
    <row r="1557">
      <c r="B1557" s="34"/>
    </row>
    <row r="1558">
      <c r="B1558" s="34"/>
    </row>
    <row r="1559">
      <c r="B1559" s="34"/>
    </row>
    <row r="1560">
      <c r="B1560" s="34"/>
    </row>
    <row r="1561">
      <c r="B1561" s="34"/>
    </row>
    <row r="1562">
      <c r="B1562" s="34"/>
    </row>
    <row r="1563">
      <c r="B1563" s="34"/>
    </row>
    <row r="1564">
      <c r="B1564" s="34"/>
    </row>
    <row r="1565">
      <c r="B1565" s="34"/>
    </row>
    <row r="1566">
      <c r="B1566" s="34"/>
    </row>
    <row r="1567">
      <c r="B1567" s="34"/>
    </row>
    <row r="1568">
      <c r="B1568" s="34"/>
    </row>
    <row r="1569">
      <c r="B1569" s="34"/>
    </row>
    <row r="1570">
      <c r="B1570" s="34"/>
    </row>
    <row r="1571">
      <c r="B1571" s="34"/>
    </row>
    <row r="1572">
      <c r="B1572" s="34"/>
    </row>
    <row r="1573">
      <c r="B1573" s="34"/>
    </row>
    <row r="1574">
      <c r="B1574" s="34"/>
    </row>
    <row r="1575">
      <c r="B1575" s="34"/>
    </row>
    <row r="1576">
      <c r="B1576" s="34"/>
    </row>
    <row r="1577">
      <c r="B1577" s="34"/>
    </row>
    <row r="1578">
      <c r="B1578" s="34"/>
    </row>
    <row r="1579">
      <c r="B1579" s="34"/>
    </row>
    <row r="1580">
      <c r="B1580" s="34"/>
    </row>
    <row r="1581">
      <c r="B1581" s="34"/>
    </row>
    <row r="1582">
      <c r="B1582" s="34"/>
    </row>
    <row r="1583">
      <c r="B1583" s="34"/>
    </row>
    <row r="1584">
      <c r="B1584" s="34"/>
    </row>
    <row r="1585">
      <c r="B1585" s="34"/>
    </row>
    <row r="1586">
      <c r="B1586" s="34"/>
    </row>
    <row r="1587">
      <c r="B1587" s="34"/>
    </row>
    <row r="1588">
      <c r="B1588" s="34"/>
    </row>
    <row r="1589">
      <c r="B1589" s="34"/>
    </row>
    <row r="1590">
      <c r="B1590" s="34"/>
    </row>
    <row r="1591">
      <c r="B1591" s="34"/>
    </row>
    <row r="1592">
      <c r="B1592" s="34"/>
    </row>
    <row r="1593">
      <c r="B1593" s="34"/>
    </row>
    <row r="1594">
      <c r="B1594" s="34"/>
    </row>
    <row r="1595">
      <c r="B1595" s="34"/>
    </row>
    <row r="1596">
      <c r="B1596" s="34"/>
    </row>
    <row r="1597">
      <c r="B1597" s="34"/>
    </row>
    <row r="1598">
      <c r="B1598" s="34"/>
    </row>
    <row r="1599">
      <c r="B1599" s="34"/>
    </row>
    <row r="1600">
      <c r="B1600" s="34"/>
    </row>
    <row r="1601">
      <c r="B1601" s="34"/>
    </row>
    <row r="1602">
      <c r="B1602" s="34"/>
    </row>
    <row r="1603">
      <c r="B1603" s="34"/>
    </row>
    <row r="1604">
      <c r="B1604" s="34"/>
    </row>
    <row r="1605">
      <c r="B1605" s="34"/>
    </row>
    <row r="1606">
      <c r="B1606" s="34"/>
    </row>
    <row r="1607">
      <c r="B1607" s="34"/>
    </row>
    <row r="1608">
      <c r="B1608" s="34"/>
    </row>
    <row r="1609">
      <c r="B1609" s="34"/>
    </row>
    <row r="1610">
      <c r="B1610" s="34"/>
    </row>
    <row r="1611">
      <c r="B1611" s="34"/>
    </row>
    <row r="1612">
      <c r="B1612" s="34"/>
    </row>
    <row r="1613">
      <c r="B1613" s="34"/>
    </row>
    <row r="1614">
      <c r="B1614" s="34"/>
    </row>
    <row r="1615">
      <c r="B1615" s="34"/>
    </row>
    <row r="1616">
      <c r="B1616" s="34"/>
    </row>
    <row r="1617">
      <c r="B1617" s="34"/>
    </row>
    <row r="1618">
      <c r="B1618" s="34"/>
    </row>
    <row r="1619">
      <c r="B1619" s="34"/>
    </row>
    <row r="1620">
      <c r="B1620" s="34"/>
    </row>
    <row r="1621">
      <c r="B1621" s="34"/>
    </row>
    <row r="1622">
      <c r="B1622" s="34"/>
    </row>
    <row r="1623">
      <c r="B1623" s="34"/>
    </row>
    <row r="1624">
      <c r="B1624" s="34"/>
    </row>
    <row r="1625">
      <c r="B1625" s="34"/>
    </row>
    <row r="1626">
      <c r="B1626" s="34"/>
    </row>
    <row r="1627">
      <c r="B1627" s="34"/>
    </row>
    <row r="1628">
      <c r="B1628" s="34"/>
    </row>
    <row r="1629">
      <c r="B1629" s="34"/>
    </row>
    <row r="1630">
      <c r="B1630" s="34"/>
    </row>
    <row r="1631">
      <c r="B1631" s="34"/>
    </row>
    <row r="1632">
      <c r="B1632" s="34"/>
    </row>
    <row r="1633">
      <c r="B1633" s="34"/>
    </row>
    <row r="1634">
      <c r="B1634" s="34"/>
    </row>
    <row r="1635">
      <c r="B1635" s="34"/>
    </row>
    <row r="1636">
      <c r="B1636" s="34"/>
    </row>
    <row r="1637">
      <c r="B1637" s="34"/>
    </row>
    <row r="1638">
      <c r="B1638" s="34"/>
    </row>
    <row r="1639">
      <c r="B1639" s="34"/>
    </row>
    <row r="1640">
      <c r="B1640" s="34"/>
    </row>
    <row r="1641">
      <c r="B1641" s="34"/>
    </row>
    <row r="1642">
      <c r="B1642" s="34"/>
    </row>
    <row r="1643">
      <c r="B1643" s="34"/>
    </row>
    <row r="1644">
      <c r="B1644" s="34"/>
    </row>
    <row r="1645">
      <c r="B1645" s="34"/>
    </row>
    <row r="1646">
      <c r="B1646" s="34"/>
    </row>
    <row r="1647">
      <c r="B1647" s="34"/>
    </row>
    <row r="1648">
      <c r="B1648" s="34"/>
    </row>
    <row r="1649">
      <c r="B1649" s="34"/>
    </row>
    <row r="1650">
      <c r="B1650" s="34"/>
    </row>
    <row r="1651">
      <c r="B1651" s="34"/>
    </row>
    <row r="1652">
      <c r="B1652" s="34"/>
    </row>
    <row r="1653">
      <c r="B1653" s="34"/>
    </row>
    <row r="1654">
      <c r="B1654" s="34"/>
    </row>
    <row r="1655">
      <c r="B1655" s="34"/>
    </row>
    <row r="1656">
      <c r="B1656" s="34"/>
    </row>
    <row r="1657">
      <c r="B1657" s="34"/>
    </row>
    <row r="1658">
      <c r="B1658" s="34"/>
    </row>
    <row r="1659">
      <c r="B1659" s="34"/>
    </row>
    <row r="1660">
      <c r="B1660" s="34"/>
    </row>
    <row r="1661">
      <c r="B1661" s="34"/>
    </row>
    <row r="1662">
      <c r="B1662" s="34"/>
    </row>
    <row r="1663">
      <c r="B1663" s="34"/>
    </row>
    <row r="1664">
      <c r="B1664" s="34"/>
    </row>
    <row r="1665">
      <c r="B1665" s="34"/>
    </row>
    <row r="1666">
      <c r="B1666" s="34"/>
    </row>
    <row r="1667">
      <c r="B1667" s="34"/>
    </row>
    <row r="1668">
      <c r="B1668" s="34"/>
    </row>
    <row r="1669">
      <c r="B1669" s="34"/>
    </row>
    <row r="1670">
      <c r="B1670" s="34"/>
    </row>
    <row r="1671">
      <c r="B1671" s="34"/>
    </row>
    <row r="1672">
      <c r="B1672" s="34"/>
    </row>
    <row r="1673">
      <c r="B1673" s="34"/>
    </row>
    <row r="1674">
      <c r="B1674" s="34"/>
    </row>
    <row r="1675">
      <c r="B1675" s="34"/>
    </row>
    <row r="1676">
      <c r="B1676" s="34"/>
    </row>
    <row r="1677">
      <c r="B1677" s="34"/>
    </row>
    <row r="1678">
      <c r="B1678" s="34"/>
    </row>
    <row r="1679">
      <c r="B1679" s="34"/>
    </row>
    <row r="1680">
      <c r="B1680" s="34"/>
    </row>
    <row r="1681">
      <c r="B1681" s="34"/>
    </row>
    <row r="1682">
      <c r="B1682" s="34"/>
    </row>
    <row r="1683">
      <c r="B1683" s="34"/>
    </row>
    <row r="1684">
      <c r="B1684" s="34"/>
    </row>
    <row r="1685">
      <c r="B1685" s="34"/>
    </row>
    <row r="1686">
      <c r="B1686" s="34"/>
    </row>
    <row r="1687">
      <c r="B1687" s="34"/>
    </row>
    <row r="1688">
      <c r="B1688" s="34"/>
    </row>
    <row r="1689">
      <c r="B1689" s="34"/>
    </row>
    <row r="1690">
      <c r="B1690" s="34"/>
    </row>
    <row r="1691">
      <c r="B1691" s="34"/>
    </row>
    <row r="1692">
      <c r="B1692" s="34"/>
    </row>
    <row r="1693">
      <c r="B1693" s="34"/>
    </row>
    <row r="1694">
      <c r="B1694" s="34"/>
    </row>
    <row r="1695">
      <c r="B1695" s="34"/>
    </row>
    <row r="1696">
      <c r="B1696" s="34"/>
    </row>
    <row r="1697">
      <c r="B1697" s="34"/>
    </row>
    <row r="1698">
      <c r="B1698" s="34"/>
    </row>
    <row r="1699">
      <c r="B1699" s="34"/>
    </row>
    <row r="1700">
      <c r="B1700" s="34"/>
    </row>
    <row r="1701">
      <c r="B1701" s="34"/>
    </row>
    <row r="1702">
      <c r="B1702" s="34"/>
    </row>
    <row r="1703">
      <c r="B1703" s="34"/>
    </row>
    <row r="1704">
      <c r="B1704" s="34"/>
    </row>
    <row r="1705">
      <c r="B1705" s="34"/>
    </row>
    <row r="1706">
      <c r="B1706" s="34"/>
    </row>
    <row r="1707">
      <c r="B1707" s="34"/>
    </row>
    <row r="1708">
      <c r="B1708" s="34"/>
    </row>
    <row r="1709">
      <c r="B1709" s="34"/>
    </row>
    <row r="1710">
      <c r="B1710" s="34"/>
    </row>
    <row r="1711">
      <c r="B1711" s="34"/>
    </row>
    <row r="1712">
      <c r="B1712" s="34"/>
    </row>
    <row r="1713">
      <c r="B1713" s="34"/>
    </row>
    <row r="1714">
      <c r="B1714" s="34"/>
    </row>
    <row r="1715">
      <c r="B1715" s="34"/>
    </row>
    <row r="1716">
      <c r="B1716" s="34"/>
    </row>
    <row r="1717">
      <c r="B1717" s="34"/>
    </row>
    <row r="1718">
      <c r="B1718" s="34"/>
    </row>
    <row r="1719">
      <c r="B1719" s="34"/>
    </row>
    <row r="1720">
      <c r="B1720" s="34"/>
    </row>
    <row r="1721">
      <c r="B1721" s="34"/>
    </row>
    <row r="1722">
      <c r="B1722" s="34"/>
    </row>
    <row r="1723">
      <c r="B1723" s="34"/>
    </row>
    <row r="1724">
      <c r="B1724" s="34"/>
    </row>
    <row r="1725">
      <c r="B1725" s="34"/>
    </row>
    <row r="1726">
      <c r="B1726" s="34"/>
    </row>
    <row r="1727">
      <c r="B1727" s="34"/>
    </row>
    <row r="1728">
      <c r="B1728" s="34"/>
    </row>
    <row r="1729">
      <c r="B1729" s="34"/>
    </row>
    <row r="1730">
      <c r="B1730" s="34"/>
    </row>
    <row r="1731">
      <c r="B1731" s="34"/>
    </row>
    <row r="1732">
      <c r="B1732" s="34"/>
    </row>
    <row r="1733">
      <c r="B1733" s="34"/>
    </row>
    <row r="1734">
      <c r="B1734" s="34"/>
    </row>
    <row r="1735">
      <c r="B1735" s="34"/>
    </row>
    <row r="1736">
      <c r="B1736" s="34"/>
    </row>
    <row r="1737">
      <c r="B1737" s="34"/>
    </row>
    <row r="1738">
      <c r="B1738" s="34"/>
    </row>
    <row r="1739">
      <c r="B1739" s="34"/>
    </row>
    <row r="1740">
      <c r="B1740" s="34"/>
    </row>
    <row r="1741">
      <c r="B1741" s="34"/>
    </row>
    <row r="1742">
      <c r="B1742" s="34"/>
    </row>
    <row r="1743">
      <c r="B1743" s="34"/>
    </row>
    <row r="1744">
      <c r="B1744" s="34"/>
    </row>
    <row r="1745">
      <c r="B1745" s="34"/>
    </row>
    <row r="1746">
      <c r="B1746" s="34"/>
    </row>
    <row r="1747">
      <c r="B1747" s="34"/>
    </row>
    <row r="1748">
      <c r="B1748" s="34"/>
    </row>
    <row r="1749">
      <c r="B1749" s="34"/>
    </row>
    <row r="1750">
      <c r="B1750" s="34"/>
    </row>
    <row r="1751">
      <c r="B1751" s="34"/>
    </row>
    <row r="1752">
      <c r="B1752" s="34"/>
    </row>
    <row r="1753">
      <c r="B1753" s="34"/>
    </row>
    <row r="1754">
      <c r="B1754" s="34"/>
    </row>
    <row r="1755">
      <c r="B1755" s="34"/>
    </row>
    <row r="1756">
      <c r="B1756" s="34"/>
    </row>
    <row r="1757">
      <c r="B1757" s="34"/>
    </row>
    <row r="1758">
      <c r="B1758" s="34"/>
    </row>
    <row r="1759">
      <c r="B1759" s="34"/>
    </row>
    <row r="1760">
      <c r="B1760" s="34"/>
    </row>
    <row r="1761">
      <c r="B1761" s="34"/>
    </row>
    <row r="1762">
      <c r="B1762" s="34"/>
    </row>
    <row r="1763">
      <c r="B1763" s="34"/>
    </row>
    <row r="1764">
      <c r="B1764" s="34"/>
    </row>
    <row r="1765">
      <c r="B1765" s="34"/>
    </row>
    <row r="1766">
      <c r="B1766" s="34"/>
    </row>
    <row r="1767">
      <c r="B1767" s="34"/>
    </row>
    <row r="1768">
      <c r="B1768" s="34"/>
    </row>
    <row r="1769">
      <c r="B1769" s="34"/>
    </row>
    <row r="1770">
      <c r="B1770" s="34"/>
    </row>
    <row r="1771">
      <c r="B1771" s="34"/>
    </row>
    <row r="1772">
      <c r="B1772" s="34"/>
    </row>
    <row r="1773">
      <c r="B1773" s="34"/>
    </row>
    <row r="1774">
      <c r="B1774" s="34"/>
    </row>
    <row r="1775">
      <c r="B1775" s="34"/>
    </row>
    <row r="1776">
      <c r="B1776" s="34"/>
    </row>
    <row r="1777">
      <c r="B1777" s="34"/>
    </row>
    <row r="1778">
      <c r="B1778" s="34"/>
    </row>
    <row r="1779">
      <c r="B1779" s="34"/>
    </row>
    <row r="1780">
      <c r="B1780" s="34"/>
    </row>
    <row r="1781">
      <c r="B1781" s="34"/>
    </row>
    <row r="1782">
      <c r="B1782" s="34"/>
    </row>
    <row r="1783">
      <c r="B1783" s="34"/>
    </row>
    <row r="1784">
      <c r="B1784" s="34"/>
    </row>
    <row r="1785">
      <c r="B1785" s="34"/>
    </row>
    <row r="1786">
      <c r="B1786" s="34"/>
    </row>
    <row r="1787">
      <c r="B1787" s="34"/>
    </row>
    <row r="1788">
      <c r="B1788" s="34"/>
    </row>
    <row r="1789">
      <c r="B1789" s="34"/>
    </row>
    <row r="1790">
      <c r="B1790" s="34"/>
    </row>
    <row r="1791">
      <c r="B1791" s="34"/>
    </row>
    <row r="1792">
      <c r="B1792" s="34"/>
    </row>
    <row r="1793">
      <c r="B1793" s="34"/>
    </row>
    <row r="1794">
      <c r="B1794" s="34"/>
    </row>
    <row r="1795">
      <c r="B1795" s="34"/>
    </row>
    <row r="1796">
      <c r="B1796" s="34"/>
    </row>
    <row r="1797">
      <c r="B1797" s="34"/>
    </row>
    <row r="1798">
      <c r="B1798" s="34"/>
    </row>
    <row r="1799">
      <c r="B1799" s="34"/>
    </row>
    <row r="1800">
      <c r="B1800" s="34"/>
    </row>
    <row r="1801">
      <c r="B1801" s="34"/>
    </row>
    <row r="1802">
      <c r="B1802" s="34"/>
    </row>
    <row r="1803">
      <c r="B1803" s="34"/>
    </row>
    <row r="1804">
      <c r="B1804" s="34"/>
    </row>
    <row r="1805">
      <c r="B1805" s="34"/>
    </row>
    <row r="1806">
      <c r="B1806" s="34"/>
    </row>
    <row r="1807">
      <c r="B1807" s="34"/>
    </row>
    <row r="1808">
      <c r="B1808" s="34"/>
    </row>
    <row r="1809">
      <c r="B1809" s="34"/>
    </row>
    <row r="1810">
      <c r="B1810" s="34"/>
    </row>
    <row r="1811">
      <c r="B1811" s="34"/>
    </row>
    <row r="1812">
      <c r="B1812" s="34"/>
    </row>
    <row r="1813">
      <c r="B1813" s="34"/>
    </row>
    <row r="1814">
      <c r="B1814" s="34"/>
    </row>
    <row r="1815">
      <c r="B1815" s="34"/>
    </row>
    <row r="1816">
      <c r="B1816" s="34"/>
    </row>
    <row r="1817">
      <c r="B1817" s="34"/>
    </row>
    <row r="1818">
      <c r="B1818" s="34"/>
    </row>
    <row r="1819">
      <c r="B1819" s="34"/>
    </row>
    <row r="1820">
      <c r="B1820" s="34"/>
    </row>
    <row r="1821">
      <c r="B1821" s="34"/>
    </row>
    <row r="1822">
      <c r="B1822" s="34"/>
    </row>
    <row r="1823">
      <c r="B1823" s="34"/>
    </row>
    <row r="1824">
      <c r="B1824" s="34"/>
    </row>
    <row r="1825">
      <c r="B1825" s="34"/>
    </row>
    <row r="1826">
      <c r="B1826" s="34"/>
    </row>
    <row r="1827">
      <c r="B1827" s="34"/>
    </row>
    <row r="1828">
      <c r="B1828" s="34"/>
    </row>
    <row r="1829">
      <c r="B1829" s="34"/>
    </row>
    <row r="1830">
      <c r="B1830" s="34"/>
    </row>
    <row r="1831">
      <c r="B1831" s="34"/>
    </row>
    <row r="1832">
      <c r="B1832" s="34"/>
    </row>
    <row r="1833">
      <c r="B1833" s="34"/>
    </row>
    <row r="1834">
      <c r="B1834" s="34"/>
    </row>
    <row r="1835">
      <c r="B1835" s="34"/>
    </row>
    <row r="1836">
      <c r="B1836" s="34"/>
    </row>
    <row r="1837">
      <c r="B1837" s="34"/>
    </row>
    <row r="1838">
      <c r="B1838" s="34"/>
    </row>
    <row r="1839">
      <c r="B1839" s="34"/>
    </row>
    <row r="1840">
      <c r="B1840" s="34"/>
    </row>
    <row r="1841">
      <c r="B1841" s="34"/>
    </row>
    <row r="1842">
      <c r="B1842" s="34"/>
    </row>
    <row r="1843">
      <c r="B1843" s="34"/>
    </row>
    <row r="1844">
      <c r="B1844" s="34"/>
    </row>
    <row r="1845">
      <c r="B1845" s="34"/>
    </row>
    <row r="1846">
      <c r="B1846" s="34"/>
    </row>
    <row r="1847">
      <c r="B1847" s="34"/>
    </row>
    <row r="1848">
      <c r="B1848" s="34"/>
    </row>
    <row r="1849">
      <c r="B1849" s="34"/>
    </row>
    <row r="1850">
      <c r="B1850" s="34"/>
    </row>
    <row r="1851">
      <c r="B1851" s="34"/>
    </row>
    <row r="1852">
      <c r="B1852" s="34"/>
    </row>
    <row r="1853">
      <c r="B1853" s="34"/>
    </row>
    <row r="1854">
      <c r="B1854" s="34"/>
    </row>
    <row r="1855">
      <c r="B1855" s="34"/>
    </row>
    <row r="1856">
      <c r="B1856" s="34"/>
    </row>
    <row r="1857">
      <c r="B1857" s="34"/>
    </row>
    <row r="1858">
      <c r="B1858" s="34"/>
    </row>
    <row r="1859">
      <c r="B1859" s="34"/>
    </row>
    <row r="1860">
      <c r="B1860" s="34"/>
    </row>
    <row r="1861">
      <c r="B1861" s="34"/>
    </row>
    <row r="1862">
      <c r="B1862" s="34"/>
    </row>
    <row r="1863">
      <c r="B1863" s="34"/>
    </row>
    <row r="1864">
      <c r="B1864" s="34"/>
    </row>
    <row r="1865">
      <c r="B1865" s="34"/>
    </row>
    <row r="1866">
      <c r="B1866" s="34"/>
    </row>
    <row r="1867">
      <c r="B1867" s="34"/>
    </row>
    <row r="1868">
      <c r="B1868" s="34"/>
    </row>
    <row r="1869">
      <c r="B1869" s="34"/>
    </row>
    <row r="1870">
      <c r="B1870" s="34"/>
    </row>
    <row r="1871">
      <c r="B1871" s="34"/>
    </row>
    <row r="1872">
      <c r="B1872" s="34"/>
    </row>
    <row r="1873">
      <c r="B1873" s="34"/>
    </row>
    <row r="1874">
      <c r="B1874" s="34"/>
    </row>
    <row r="1875">
      <c r="B1875" s="34"/>
    </row>
    <row r="1876">
      <c r="B1876" s="34"/>
    </row>
    <row r="1877">
      <c r="B1877" s="34"/>
    </row>
    <row r="1878">
      <c r="B1878" s="34"/>
    </row>
    <row r="1879">
      <c r="B1879" s="34"/>
    </row>
    <row r="1880">
      <c r="B1880" s="34"/>
    </row>
    <row r="1881">
      <c r="B1881" s="34"/>
    </row>
    <row r="1882">
      <c r="B1882" s="34"/>
    </row>
    <row r="1883">
      <c r="B1883" s="34"/>
    </row>
    <row r="1884">
      <c r="B1884" s="34"/>
    </row>
    <row r="1885">
      <c r="B1885" s="34"/>
    </row>
    <row r="1886">
      <c r="B1886" s="34"/>
    </row>
    <row r="1887">
      <c r="B1887" s="34"/>
    </row>
    <row r="1888">
      <c r="B1888" s="34"/>
    </row>
    <row r="1889">
      <c r="B1889" s="34"/>
    </row>
    <row r="1890">
      <c r="B1890" s="34"/>
    </row>
    <row r="1891">
      <c r="B1891" s="34"/>
    </row>
    <row r="1892">
      <c r="B1892" s="34"/>
    </row>
    <row r="1893">
      <c r="B1893" s="34"/>
    </row>
    <row r="1894">
      <c r="B1894" s="34"/>
    </row>
    <row r="1895">
      <c r="B1895" s="34"/>
    </row>
    <row r="1896">
      <c r="B1896" s="34"/>
    </row>
    <row r="1897">
      <c r="B1897" s="34"/>
    </row>
    <row r="1898">
      <c r="B1898" s="34"/>
    </row>
    <row r="1899">
      <c r="B1899" s="34"/>
    </row>
    <row r="1900">
      <c r="B1900" s="34"/>
    </row>
    <row r="1901">
      <c r="B1901" s="34"/>
    </row>
    <row r="1902">
      <c r="B1902" s="34"/>
    </row>
    <row r="1903">
      <c r="B1903" s="34"/>
    </row>
    <row r="1904">
      <c r="B1904" s="34"/>
    </row>
    <row r="1905">
      <c r="B1905" s="34"/>
    </row>
    <row r="1906">
      <c r="B1906" s="34"/>
    </row>
    <row r="1907">
      <c r="B1907" s="34"/>
    </row>
    <row r="1908">
      <c r="B1908" s="34"/>
    </row>
    <row r="1909">
      <c r="B1909" s="34"/>
    </row>
    <row r="1910">
      <c r="B1910" s="34"/>
    </row>
    <row r="1911">
      <c r="B1911" s="34"/>
    </row>
    <row r="1912">
      <c r="B1912" s="34"/>
    </row>
    <row r="1913">
      <c r="B1913" s="34"/>
    </row>
    <row r="1914">
      <c r="B1914" s="34"/>
    </row>
    <row r="1915">
      <c r="B1915" s="34"/>
    </row>
    <row r="1916">
      <c r="B1916" s="34"/>
    </row>
    <row r="1917">
      <c r="B1917" s="34"/>
    </row>
    <row r="1918">
      <c r="B1918" s="34"/>
    </row>
    <row r="1919">
      <c r="B1919" s="34"/>
    </row>
    <row r="1920">
      <c r="B1920" s="34"/>
    </row>
    <row r="1921">
      <c r="B1921" s="34"/>
    </row>
    <row r="1922">
      <c r="B1922" s="34"/>
    </row>
    <row r="1923">
      <c r="B1923" s="34"/>
    </row>
    <row r="1924">
      <c r="B1924" s="34"/>
    </row>
    <row r="1925">
      <c r="B1925" s="34"/>
    </row>
    <row r="1926">
      <c r="B1926" s="34"/>
    </row>
    <row r="1927">
      <c r="B1927" s="34"/>
    </row>
    <row r="1928">
      <c r="B1928" s="34"/>
    </row>
    <row r="1929">
      <c r="B1929" s="34"/>
    </row>
    <row r="1930">
      <c r="B1930" s="34"/>
    </row>
    <row r="1931">
      <c r="B1931" s="34"/>
    </row>
    <row r="1932">
      <c r="B1932" s="34"/>
    </row>
    <row r="1933">
      <c r="B1933" s="34"/>
    </row>
    <row r="1934">
      <c r="B1934" s="34"/>
    </row>
    <row r="1935">
      <c r="B1935" s="34"/>
    </row>
    <row r="1936">
      <c r="B1936" s="34"/>
    </row>
    <row r="1937">
      <c r="B1937" s="34"/>
    </row>
    <row r="1938">
      <c r="B1938" s="34"/>
    </row>
    <row r="1939">
      <c r="B1939" s="34"/>
    </row>
    <row r="1940">
      <c r="B1940" s="34"/>
    </row>
    <row r="1941">
      <c r="B1941" s="34"/>
    </row>
    <row r="1942">
      <c r="B1942" s="34"/>
    </row>
    <row r="1943">
      <c r="B1943" s="34"/>
    </row>
    <row r="1944">
      <c r="B1944" s="34"/>
    </row>
    <row r="1945">
      <c r="B1945" s="34"/>
    </row>
    <row r="1946">
      <c r="B1946" s="34"/>
    </row>
    <row r="1947">
      <c r="B1947" s="34"/>
    </row>
    <row r="1948">
      <c r="B1948" s="34"/>
    </row>
    <row r="1949">
      <c r="B1949" s="34"/>
    </row>
    <row r="1950">
      <c r="B1950" s="34"/>
    </row>
    <row r="1951">
      <c r="B1951" s="34"/>
    </row>
    <row r="1952">
      <c r="B1952" s="34"/>
    </row>
    <row r="1953">
      <c r="B1953" s="34"/>
    </row>
    <row r="1954">
      <c r="B1954" s="34"/>
    </row>
    <row r="1955">
      <c r="B1955" s="34"/>
    </row>
    <row r="1956">
      <c r="B1956" s="34"/>
    </row>
    <row r="1957">
      <c r="B1957" s="34"/>
    </row>
    <row r="1958">
      <c r="B1958" s="34"/>
    </row>
    <row r="1959">
      <c r="B1959" s="34"/>
    </row>
    <row r="1960">
      <c r="B1960" s="34"/>
    </row>
    <row r="1961">
      <c r="B1961" s="34"/>
    </row>
    <row r="1962">
      <c r="B1962" s="34"/>
    </row>
    <row r="1963">
      <c r="B1963" s="34"/>
    </row>
    <row r="1964">
      <c r="B1964" s="34"/>
    </row>
    <row r="1965">
      <c r="B1965" s="34"/>
    </row>
    <row r="1966">
      <c r="B1966" s="34"/>
    </row>
    <row r="1967">
      <c r="B1967" s="34"/>
    </row>
    <row r="1968">
      <c r="B1968" s="34"/>
    </row>
    <row r="1969">
      <c r="B1969" s="34"/>
    </row>
    <row r="1970">
      <c r="B1970" s="34"/>
    </row>
    <row r="1971">
      <c r="B1971" s="34"/>
    </row>
    <row r="1972">
      <c r="B1972" s="34"/>
    </row>
    <row r="1973">
      <c r="B1973" s="34"/>
    </row>
    <row r="1974">
      <c r="B1974" s="34"/>
    </row>
    <row r="1975">
      <c r="B1975" s="34"/>
    </row>
    <row r="1976">
      <c r="B1976" s="34"/>
    </row>
    <row r="1977">
      <c r="B1977" s="34"/>
    </row>
    <row r="1978">
      <c r="B1978" s="34"/>
    </row>
    <row r="1979">
      <c r="B1979" s="34"/>
    </row>
    <row r="1980">
      <c r="B1980" s="34"/>
    </row>
    <row r="1981">
      <c r="B1981" s="34"/>
    </row>
    <row r="1982">
      <c r="B1982" s="34"/>
    </row>
    <row r="1983">
      <c r="B1983" s="34"/>
    </row>
    <row r="1984">
      <c r="B1984" s="34"/>
    </row>
    <row r="1985">
      <c r="B1985" s="34"/>
    </row>
    <row r="1986">
      <c r="B1986" s="34"/>
    </row>
    <row r="1987">
      <c r="B1987" s="34"/>
    </row>
    <row r="1988">
      <c r="B1988" s="34"/>
    </row>
    <row r="1989">
      <c r="B1989" s="34"/>
    </row>
    <row r="1990">
      <c r="B1990" s="34"/>
    </row>
    <row r="1991">
      <c r="B1991" s="34"/>
    </row>
    <row r="1992">
      <c r="B1992" s="34"/>
    </row>
    <row r="1993">
      <c r="B1993" s="34"/>
    </row>
    <row r="1994">
      <c r="B1994" s="34"/>
    </row>
    <row r="1995">
      <c r="B1995" s="34"/>
    </row>
    <row r="1996">
      <c r="B1996" s="34"/>
    </row>
    <row r="1997">
      <c r="B1997" s="34"/>
    </row>
    <row r="1998">
      <c r="B1998" s="34"/>
    </row>
    <row r="1999">
      <c r="B1999" s="34"/>
    </row>
    <row r="2000">
      <c r="B2000" s="34"/>
    </row>
    <row r="2001">
      <c r="B2001" s="34"/>
    </row>
    <row r="2002">
      <c r="B2002" s="34"/>
    </row>
    <row r="2003">
      <c r="B2003" s="34"/>
    </row>
    <row r="2004">
      <c r="B2004" s="34"/>
    </row>
    <row r="2005">
      <c r="B2005" s="34"/>
    </row>
    <row r="2006">
      <c r="B2006" s="34"/>
    </row>
    <row r="2007">
      <c r="B2007" s="34"/>
    </row>
    <row r="2008">
      <c r="B2008" s="34"/>
    </row>
    <row r="2009">
      <c r="B2009" s="34"/>
    </row>
    <row r="2010">
      <c r="B2010" s="34"/>
    </row>
    <row r="2011">
      <c r="B2011" s="34"/>
    </row>
    <row r="2012">
      <c r="B2012" s="34"/>
    </row>
    <row r="2013">
      <c r="B2013" s="34"/>
    </row>
    <row r="2014">
      <c r="B2014" s="34"/>
    </row>
    <row r="2015">
      <c r="B2015" s="34"/>
    </row>
    <row r="2016">
      <c r="B2016" s="34"/>
    </row>
    <row r="2017">
      <c r="B2017" s="34"/>
    </row>
    <row r="2018">
      <c r="B2018" s="34"/>
    </row>
    <row r="2019">
      <c r="B2019" s="34"/>
    </row>
    <row r="2020">
      <c r="B2020" s="34"/>
    </row>
    <row r="2021">
      <c r="B2021" s="34"/>
    </row>
    <row r="2022">
      <c r="B2022" s="34"/>
    </row>
    <row r="2023">
      <c r="B2023" s="34"/>
    </row>
    <row r="2024">
      <c r="B2024" s="34"/>
    </row>
    <row r="2025">
      <c r="B2025" s="34"/>
    </row>
    <row r="2026">
      <c r="B2026" s="34"/>
    </row>
    <row r="2027">
      <c r="B2027" s="34"/>
    </row>
    <row r="2028">
      <c r="B2028" s="34"/>
    </row>
    <row r="2029">
      <c r="B2029" s="34"/>
    </row>
    <row r="2030">
      <c r="B2030" s="34"/>
    </row>
    <row r="2031">
      <c r="B2031" s="34"/>
    </row>
    <row r="2032">
      <c r="B2032" s="34"/>
    </row>
    <row r="2033">
      <c r="B2033" s="34"/>
    </row>
    <row r="2034">
      <c r="B2034" s="34"/>
    </row>
    <row r="2035">
      <c r="B2035" s="34"/>
    </row>
    <row r="2036">
      <c r="B2036" s="34"/>
    </row>
    <row r="2037">
      <c r="B2037" s="34"/>
    </row>
    <row r="2038">
      <c r="B2038" s="34"/>
    </row>
    <row r="2039">
      <c r="B2039" s="34"/>
    </row>
    <row r="2040">
      <c r="B2040" s="34"/>
    </row>
    <row r="2041">
      <c r="B2041" s="34"/>
    </row>
    <row r="2042">
      <c r="B2042" s="34"/>
    </row>
    <row r="2043">
      <c r="B2043" s="34"/>
    </row>
    <row r="2044">
      <c r="B2044" s="34"/>
    </row>
    <row r="2045">
      <c r="B2045" s="34"/>
    </row>
    <row r="2046">
      <c r="B2046" s="34"/>
    </row>
    <row r="2047">
      <c r="B2047" s="34"/>
    </row>
    <row r="2048">
      <c r="B2048" s="34"/>
    </row>
    <row r="2049">
      <c r="B2049" s="34"/>
    </row>
    <row r="2050">
      <c r="B2050" s="34"/>
    </row>
    <row r="2051">
      <c r="B2051" s="34"/>
    </row>
    <row r="2052">
      <c r="B2052" s="34"/>
    </row>
    <row r="2053">
      <c r="B2053" s="34"/>
    </row>
    <row r="2054">
      <c r="B2054" s="34"/>
    </row>
    <row r="2055">
      <c r="B2055" s="34"/>
    </row>
    <row r="2056">
      <c r="B2056" s="34"/>
    </row>
    <row r="2057">
      <c r="B2057" s="34"/>
    </row>
    <row r="2058">
      <c r="B2058" s="34"/>
    </row>
    <row r="2059">
      <c r="B2059" s="34"/>
    </row>
    <row r="2060">
      <c r="B2060" s="34"/>
    </row>
    <row r="2061">
      <c r="B2061" s="34"/>
    </row>
    <row r="2062">
      <c r="B2062" s="34"/>
    </row>
    <row r="2063">
      <c r="B2063" s="34"/>
    </row>
    <row r="2064">
      <c r="B2064" s="34"/>
    </row>
    <row r="2065">
      <c r="B2065" s="34"/>
    </row>
    <row r="2066">
      <c r="B2066" s="34"/>
    </row>
    <row r="2067">
      <c r="B2067" s="34"/>
    </row>
    <row r="2068">
      <c r="B2068" s="34"/>
    </row>
    <row r="2069">
      <c r="B2069" s="34"/>
    </row>
    <row r="2070">
      <c r="B2070" s="34"/>
    </row>
    <row r="2071">
      <c r="B2071" s="34"/>
    </row>
    <row r="2072">
      <c r="B2072" s="34"/>
    </row>
    <row r="2073">
      <c r="B2073" s="34"/>
    </row>
    <row r="2074">
      <c r="B2074" s="34"/>
    </row>
    <row r="2075">
      <c r="B2075" s="34"/>
    </row>
    <row r="2076">
      <c r="B2076" s="34"/>
    </row>
    <row r="2077">
      <c r="B2077" s="34"/>
    </row>
    <row r="2078">
      <c r="B2078" s="34"/>
    </row>
    <row r="2079">
      <c r="B2079" s="34"/>
    </row>
    <row r="2080">
      <c r="B2080" s="34"/>
    </row>
    <row r="2081">
      <c r="B2081" s="34"/>
    </row>
    <row r="2082">
      <c r="B2082" s="34"/>
    </row>
    <row r="2083">
      <c r="B2083" s="34"/>
    </row>
    <row r="2084">
      <c r="B2084" s="34"/>
    </row>
    <row r="2085">
      <c r="B2085" s="34"/>
    </row>
    <row r="2086">
      <c r="B2086" s="34"/>
    </row>
    <row r="2087">
      <c r="B2087" s="34"/>
    </row>
    <row r="2088">
      <c r="B2088" s="34"/>
    </row>
    <row r="2089">
      <c r="B2089" s="34"/>
    </row>
    <row r="2090">
      <c r="B2090" s="34"/>
    </row>
    <row r="2091">
      <c r="B2091" s="34"/>
    </row>
    <row r="2092">
      <c r="B2092" s="34"/>
    </row>
    <row r="2093">
      <c r="B2093" s="34"/>
    </row>
    <row r="2094">
      <c r="B2094" s="34"/>
    </row>
    <row r="2095">
      <c r="B2095" s="34"/>
    </row>
    <row r="2096">
      <c r="B2096" s="34"/>
    </row>
    <row r="2097">
      <c r="B2097" s="34"/>
    </row>
    <row r="2098">
      <c r="B2098" s="34"/>
    </row>
    <row r="2099">
      <c r="B2099" s="34"/>
    </row>
    <row r="2100">
      <c r="B2100" s="34"/>
    </row>
    <row r="2101">
      <c r="B2101" s="34"/>
    </row>
    <row r="2102">
      <c r="B2102" s="34"/>
    </row>
    <row r="2103">
      <c r="B2103" s="34"/>
    </row>
    <row r="2104">
      <c r="B2104" s="34"/>
    </row>
    <row r="2105">
      <c r="B2105" s="34"/>
    </row>
    <row r="2106">
      <c r="B2106" s="34"/>
    </row>
    <row r="2107">
      <c r="B2107" s="34"/>
    </row>
    <row r="2108">
      <c r="B2108" s="34"/>
    </row>
    <row r="2109">
      <c r="B2109" s="34"/>
    </row>
    <row r="2110">
      <c r="B2110" s="34"/>
    </row>
    <row r="2111">
      <c r="B2111" s="34"/>
    </row>
    <row r="2112">
      <c r="B2112" s="34"/>
    </row>
    <row r="2113">
      <c r="B2113" s="34"/>
    </row>
    <row r="2114">
      <c r="B2114" s="34"/>
    </row>
    <row r="2115">
      <c r="B2115" s="34"/>
    </row>
    <row r="2116">
      <c r="B2116" s="34"/>
    </row>
    <row r="2117">
      <c r="B2117" s="34"/>
    </row>
    <row r="2118">
      <c r="B2118" s="34"/>
    </row>
    <row r="2119">
      <c r="B2119" s="34"/>
    </row>
    <row r="2120">
      <c r="B2120" s="34"/>
    </row>
    <row r="2121">
      <c r="B2121" s="34"/>
    </row>
    <row r="2122">
      <c r="B2122" s="34"/>
    </row>
    <row r="2123">
      <c r="B2123" s="34"/>
    </row>
    <row r="2124">
      <c r="B2124" s="34"/>
    </row>
    <row r="2125">
      <c r="B2125" s="34"/>
    </row>
    <row r="2126">
      <c r="B2126" s="34"/>
    </row>
    <row r="2127">
      <c r="B2127" s="34"/>
    </row>
    <row r="2128">
      <c r="B2128" s="34"/>
    </row>
    <row r="2129">
      <c r="B2129" s="34"/>
    </row>
    <row r="2130">
      <c r="B2130" s="34"/>
    </row>
    <row r="2131">
      <c r="B2131" s="34"/>
    </row>
    <row r="2132">
      <c r="B2132" s="34"/>
    </row>
    <row r="2133">
      <c r="B2133" s="34"/>
    </row>
    <row r="2134">
      <c r="B2134" s="34"/>
    </row>
    <row r="2135">
      <c r="B2135" s="34"/>
    </row>
    <row r="2136">
      <c r="B2136" s="34"/>
    </row>
    <row r="2137">
      <c r="B2137" s="34"/>
    </row>
    <row r="2138">
      <c r="B2138" s="34"/>
    </row>
    <row r="2139">
      <c r="B2139" s="34"/>
    </row>
    <row r="2140">
      <c r="B2140" s="34"/>
    </row>
    <row r="2141">
      <c r="B2141" s="34"/>
    </row>
    <row r="2142">
      <c r="B2142" s="34"/>
    </row>
    <row r="2143">
      <c r="B2143" s="34"/>
    </row>
    <row r="2144">
      <c r="B2144" s="34"/>
    </row>
    <row r="2145">
      <c r="B2145" s="34"/>
    </row>
    <row r="2146">
      <c r="B2146" s="34"/>
    </row>
    <row r="2147">
      <c r="B2147" s="34"/>
    </row>
    <row r="2148">
      <c r="B2148" s="34"/>
    </row>
    <row r="2149">
      <c r="B2149" s="34"/>
    </row>
    <row r="2150">
      <c r="B2150" s="34"/>
    </row>
    <row r="2151">
      <c r="B2151" s="34"/>
    </row>
    <row r="2152">
      <c r="B2152" s="34"/>
    </row>
    <row r="2153">
      <c r="B2153" s="34"/>
    </row>
    <row r="2154">
      <c r="B2154" s="34"/>
    </row>
    <row r="2155">
      <c r="B2155" s="34"/>
    </row>
    <row r="2156">
      <c r="B2156" s="34"/>
    </row>
    <row r="2157">
      <c r="B2157" s="34"/>
    </row>
    <row r="2158">
      <c r="B2158" s="34"/>
    </row>
    <row r="2159">
      <c r="B2159" s="34"/>
    </row>
    <row r="2160">
      <c r="B2160" s="34"/>
    </row>
    <row r="2161">
      <c r="B2161" s="34"/>
    </row>
    <row r="2162">
      <c r="B2162" s="34"/>
    </row>
    <row r="2163">
      <c r="B2163" s="34"/>
    </row>
    <row r="2164">
      <c r="B2164" s="34"/>
    </row>
    <row r="2165">
      <c r="B2165" s="34"/>
    </row>
    <row r="2166">
      <c r="B2166" s="34"/>
    </row>
    <row r="2167">
      <c r="B2167" s="34"/>
    </row>
    <row r="2168">
      <c r="B2168" s="34"/>
    </row>
    <row r="2169">
      <c r="B2169" s="34"/>
    </row>
    <row r="2170">
      <c r="B2170" s="34"/>
    </row>
    <row r="2171">
      <c r="B2171" s="34"/>
    </row>
    <row r="2172">
      <c r="B2172" s="34"/>
    </row>
    <row r="2173">
      <c r="B2173" s="34"/>
    </row>
    <row r="2174">
      <c r="B2174" s="34"/>
    </row>
    <row r="2175">
      <c r="B2175" s="34"/>
    </row>
    <row r="2176">
      <c r="B2176" s="34"/>
    </row>
    <row r="2177">
      <c r="B2177" s="34"/>
    </row>
    <row r="2178">
      <c r="B2178" s="34"/>
    </row>
    <row r="2179">
      <c r="B2179" s="34"/>
    </row>
    <row r="2180">
      <c r="B2180" s="34"/>
    </row>
    <row r="2181">
      <c r="B2181" s="34"/>
    </row>
    <row r="2182">
      <c r="B2182" s="34"/>
    </row>
    <row r="2183">
      <c r="B2183" s="34"/>
    </row>
    <row r="2184">
      <c r="B2184" s="34"/>
    </row>
    <row r="2185">
      <c r="B2185" s="34"/>
    </row>
    <row r="2186">
      <c r="B2186" s="34"/>
    </row>
    <row r="2187">
      <c r="B2187" s="34"/>
    </row>
    <row r="2188">
      <c r="B2188" s="34"/>
    </row>
    <row r="2189">
      <c r="B2189" s="34"/>
    </row>
    <row r="2190">
      <c r="B2190" s="34"/>
    </row>
    <row r="2191">
      <c r="B2191" s="34"/>
    </row>
    <row r="2192">
      <c r="B2192" s="34"/>
    </row>
    <row r="2193">
      <c r="B2193" s="34"/>
    </row>
    <row r="2194">
      <c r="B2194" s="34"/>
    </row>
    <row r="2195">
      <c r="B2195" s="34"/>
    </row>
    <row r="2196">
      <c r="B2196" s="34"/>
    </row>
    <row r="2197">
      <c r="B2197" s="34"/>
    </row>
    <row r="2198">
      <c r="B2198" s="34"/>
    </row>
    <row r="2199">
      <c r="B2199" s="34"/>
    </row>
    <row r="2200">
      <c r="B2200" s="34"/>
    </row>
    <row r="2201">
      <c r="B2201" s="34"/>
    </row>
    <row r="2202">
      <c r="B2202" s="34"/>
    </row>
    <row r="2203">
      <c r="B2203" s="34"/>
    </row>
    <row r="2204">
      <c r="B2204" s="34"/>
    </row>
    <row r="2205">
      <c r="B2205" s="34"/>
    </row>
    <row r="2206">
      <c r="B2206" s="34"/>
    </row>
    <row r="2207">
      <c r="B2207" s="34"/>
    </row>
    <row r="2208">
      <c r="B2208" s="34"/>
    </row>
    <row r="2209">
      <c r="B2209" s="34"/>
    </row>
    <row r="2210">
      <c r="B2210" s="34"/>
    </row>
    <row r="2211">
      <c r="B2211" s="34"/>
    </row>
    <row r="2212">
      <c r="B2212" s="34"/>
    </row>
    <row r="2213">
      <c r="B2213" s="34"/>
    </row>
    <row r="2214">
      <c r="B2214" s="34"/>
    </row>
    <row r="2215">
      <c r="B2215" s="34"/>
    </row>
    <row r="2216">
      <c r="B2216" s="34"/>
    </row>
    <row r="2217">
      <c r="B2217" s="34"/>
    </row>
    <row r="2218">
      <c r="B2218" s="34"/>
    </row>
    <row r="2219">
      <c r="B2219" s="34"/>
    </row>
    <row r="2220">
      <c r="B2220" s="34"/>
    </row>
    <row r="2221">
      <c r="B2221" s="34"/>
    </row>
    <row r="2222">
      <c r="B2222" s="34"/>
    </row>
    <row r="2223">
      <c r="B2223" s="34"/>
    </row>
    <row r="2224">
      <c r="B2224" s="34"/>
    </row>
    <row r="2225">
      <c r="B2225" s="34"/>
    </row>
    <row r="2226">
      <c r="B2226" s="34"/>
    </row>
    <row r="2227">
      <c r="B2227" s="34"/>
    </row>
    <row r="2228">
      <c r="B2228" s="34"/>
    </row>
    <row r="2229">
      <c r="B2229" s="34"/>
    </row>
    <row r="2230">
      <c r="B2230" s="34"/>
    </row>
    <row r="2231">
      <c r="B2231" s="34"/>
    </row>
    <row r="2232">
      <c r="B2232" s="34"/>
    </row>
    <row r="2233">
      <c r="B2233" s="34"/>
    </row>
    <row r="2234">
      <c r="B2234" s="34"/>
    </row>
    <row r="2235">
      <c r="B2235" s="34"/>
    </row>
    <row r="2236">
      <c r="B2236" s="34"/>
    </row>
    <row r="2237">
      <c r="B2237" s="34"/>
    </row>
    <row r="2238">
      <c r="B2238" s="34"/>
    </row>
    <row r="2239">
      <c r="B2239" s="34"/>
    </row>
    <row r="2240">
      <c r="B2240" s="34"/>
    </row>
    <row r="2241">
      <c r="B2241" s="34"/>
    </row>
    <row r="2242">
      <c r="B2242" s="34"/>
    </row>
    <row r="2243">
      <c r="B2243" s="34"/>
    </row>
    <row r="2244">
      <c r="B2244" s="34"/>
    </row>
    <row r="2245">
      <c r="B2245" s="34"/>
    </row>
    <row r="2246">
      <c r="B2246" s="34"/>
    </row>
    <row r="2247">
      <c r="B2247" s="34"/>
    </row>
    <row r="2248">
      <c r="B2248" s="34"/>
    </row>
    <row r="2249">
      <c r="B2249" s="34"/>
    </row>
    <row r="2250">
      <c r="B2250" s="34"/>
    </row>
    <row r="2251">
      <c r="B2251" s="34"/>
    </row>
    <row r="2252">
      <c r="B2252" s="34"/>
    </row>
    <row r="2253">
      <c r="B2253" s="34"/>
    </row>
    <row r="2254">
      <c r="B2254" s="34"/>
    </row>
    <row r="2255">
      <c r="B2255" s="34"/>
    </row>
    <row r="2256">
      <c r="B2256" s="34"/>
    </row>
    <row r="2257">
      <c r="B2257" s="34"/>
    </row>
    <row r="2258">
      <c r="B2258" s="34"/>
    </row>
    <row r="2259">
      <c r="B2259" s="34"/>
    </row>
    <row r="2260">
      <c r="B2260" s="34"/>
    </row>
    <row r="2261">
      <c r="B2261" s="34"/>
    </row>
    <row r="2262">
      <c r="B2262" s="34"/>
    </row>
    <row r="2263">
      <c r="B2263" s="34"/>
    </row>
    <row r="2264">
      <c r="B2264" s="34"/>
    </row>
    <row r="2265">
      <c r="B2265" s="34"/>
    </row>
    <row r="2266">
      <c r="B2266" s="34"/>
    </row>
    <row r="2267">
      <c r="B2267" s="34"/>
    </row>
    <row r="2268">
      <c r="B2268" s="34"/>
    </row>
    <row r="2269">
      <c r="B2269" s="34"/>
    </row>
    <row r="2270">
      <c r="B2270" s="34"/>
    </row>
    <row r="2271">
      <c r="B2271" s="34"/>
    </row>
    <row r="2272">
      <c r="B2272" s="34"/>
    </row>
    <row r="2273">
      <c r="B2273" s="34"/>
    </row>
    <row r="2274">
      <c r="B2274" s="34"/>
    </row>
    <row r="2275">
      <c r="B2275" s="34"/>
    </row>
    <row r="2276">
      <c r="B2276" s="34"/>
    </row>
    <row r="2277">
      <c r="B2277" s="34"/>
    </row>
    <row r="2278">
      <c r="B2278" s="34"/>
    </row>
    <row r="2279">
      <c r="B2279" s="34"/>
    </row>
    <row r="2280">
      <c r="B2280" s="34"/>
    </row>
    <row r="2281">
      <c r="B2281" s="34"/>
    </row>
    <row r="2282">
      <c r="B2282" s="34"/>
    </row>
    <row r="2283">
      <c r="B2283" s="34"/>
    </row>
    <row r="2284">
      <c r="B2284" s="34"/>
    </row>
    <row r="2285">
      <c r="B2285" s="34"/>
    </row>
    <row r="2286">
      <c r="B2286" s="34"/>
    </row>
    <row r="2287">
      <c r="B2287" s="34"/>
    </row>
    <row r="2288">
      <c r="B2288" s="34"/>
    </row>
    <row r="2289">
      <c r="B2289" s="34"/>
    </row>
    <row r="2290">
      <c r="B2290" s="34"/>
    </row>
    <row r="2291">
      <c r="B2291" s="34"/>
    </row>
    <row r="2292">
      <c r="B2292" s="34"/>
    </row>
    <row r="2293">
      <c r="B2293" s="34"/>
    </row>
    <row r="2294">
      <c r="B2294" s="34"/>
    </row>
    <row r="2295">
      <c r="B2295" s="34"/>
    </row>
    <row r="2296">
      <c r="B2296" s="34"/>
    </row>
    <row r="2297">
      <c r="B2297" s="34"/>
    </row>
    <row r="2298">
      <c r="B2298" s="34"/>
    </row>
    <row r="2299">
      <c r="B2299" s="34"/>
    </row>
    <row r="2300">
      <c r="B2300" s="34"/>
    </row>
    <row r="2301">
      <c r="B2301" s="34"/>
    </row>
    <row r="2302">
      <c r="B2302" s="34"/>
    </row>
    <row r="2303">
      <c r="B2303" s="34"/>
    </row>
    <row r="2304">
      <c r="B2304" s="34"/>
    </row>
    <row r="2305">
      <c r="B2305" s="34"/>
    </row>
    <row r="2306">
      <c r="B2306" s="34"/>
    </row>
    <row r="2307">
      <c r="B2307" s="34"/>
    </row>
    <row r="2308">
      <c r="B2308" s="34"/>
    </row>
    <row r="2309">
      <c r="B2309" s="34"/>
    </row>
    <row r="2310">
      <c r="B2310" s="34"/>
    </row>
    <row r="2311">
      <c r="B2311" s="34"/>
    </row>
    <row r="2312">
      <c r="B2312" s="34"/>
    </row>
    <row r="2313">
      <c r="B2313" s="34"/>
    </row>
    <row r="2314">
      <c r="B2314" s="34"/>
    </row>
    <row r="2315">
      <c r="B2315" s="34"/>
    </row>
    <row r="2316">
      <c r="B2316" s="34"/>
    </row>
    <row r="2317">
      <c r="B2317" s="34"/>
    </row>
    <row r="2318">
      <c r="B2318" s="34"/>
    </row>
    <row r="2319">
      <c r="B2319" s="34"/>
    </row>
    <row r="2320">
      <c r="B2320" s="34"/>
    </row>
    <row r="2321">
      <c r="B2321" s="34"/>
    </row>
    <row r="2322">
      <c r="B2322" s="34"/>
    </row>
    <row r="2323">
      <c r="B2323" s="34"/>
    </row>
    <row r="2324">
      <c r="B2324" s="34"/>
    </row>
    <row r="2325">
      <c r="B2325" s="34"/>
    </row>
    <row r="2326">
      <c r="B2326" s="34"/>
    </row>
    <row r="2327">
      <c r="B2327" s="34"/>
    </row>
    <row r="2328">
      <c r="B2328" s="34"/>
    </row>
    <row r="2329">
      <c r="B2329" s="34"/>
    </row>
    <row r="2330">
      <c r="B2330" s="34"/>
    </row>
    <row r="2331">
      <c r="B2331" s="34"/>
    </row>
    <row r="2332">
      <c r="B2332" s="34"/>
    </row>
    <row r="2333">
      <c r="B2333" s="34"/>
    </row>
    <row r="2334">
      <c r="B2334" s="34"/>
    </row>
    <row r="2335">
      <c r="B2335" s="34"/>
    </row>
    <row r="2336">
      <c r="B2336" s="34"/>
    </row>
    <row r="2337">
      <c r="B2337" s="34"/>
    </row>
    <row r="2338">
      <c r="B2338" s="34"/>
    </row>
    <row r="2339">
      <c r="B2339" s="34"/>
    </row>
    <row r="2340">
      <c r="B2340" s="34"/>
    </row>
    <row r="2341">
      <c r="B2341" s="34"/>
    </row>
    <row r="2342">
      <c r="B2342" s="34"/>
    </row>
    <row r="2343">
      <c r="B2343" s="34"/>
    </row>
    <row r="2344">
      <c r="B2344" s="34"/>
    </row>
    <row r="2345">
      <c r="B2345" s="34"/>
    </row>
    <row r="2346">
      <c r="B2346" s="34"/>
    </row>
    <row r="2347">
      <c r="B2347" s="34"/>
    </row>
    <row r="2348">
      <c r="B2348" s="34"/>
    </row>
    <row r="2349">
      <c r="B2349" s="34"/>
    </row>
    <row r="2350">
      <c r="B2350" s="34"/>
    </row>
    <row r="2351">
      <c r="B2351" s="34"/>
    </row>
    <row r="2352">
      <c r="B2352" s="34"/>
    </row>
    <row r="2353">
      <c r="B2353" s="34"/>
    </row>
    <row r="2354">
      <c r="B2354" s="34"/>
    </row>
    <row r="2355">
      <c r="B2355" s="34"/>
    </row>
    <row r="2356">
      <c r="B2356" s="34"/>
    </row>
    <row r="2357">
      <c r="B2357" s="34"/>
    </row>
    <row r="2358">
      <c r="B2358" s="34"/>
    </row>
    <row r="2359">
      <c r="B2359" s="34"/>
    </row>
    <row r="2360">
      <c r="B2360" s="34"/>
    </row>
    <row r="2361">
      <c r="B2361" s="34"/>
    </row>
    <row r="2362">
      <c r="B2362" s="34"/>
    </row>
    <row r="2363">
      <c r="B2363" s="34"/>
    </row>
    <row r="2364">
      <c r="B2364" s="34"/>
    </row>
    <row r="2365">
      <c r="B2365" s="34"/>
    </row>
    <row r="2366">
      <c r="B2366" s="34"/>
    </row>
    <row r="2367">
      <c r="B2367" s="34"/>
    </row>
    <row r="2368">
      <c r="B2368" s="34"/>
    </row>
    <row r="2369">
      <c r="B2369" s="34"/>
    </row>
    <row r="2370">
      <c r="B2370" s="34"/>
    </row>
    <row r="2371">
      <c r="B2371" s="34"/>
    </row>
    <row r="2372">
      <c r="B2372" s="34"/>
    </row>
    <row r="2373">
      <c r="B2373" s="34"/>
    </row>
    <row r="2374">
      <c r="B2374" s="34"/>
    </row>
    <row r="2375">
      <c r="B2375" s="34"/>
    </row>
    <row r="2376">
      <c r="B2376" s="34"/>
    </row>
    <row r="2377">
      <c r="B2377" s="34"/>
    </row>
    <row r="2378">
      <c r="B2378" s="34"/>
    </row>
    <row r="2379">
      <c r="B2379" s="34"/>
    </row>
    <row r="2380">
      <c r="B2380" s="34"/>
    </row>
    <row r="2381">
      <c r="B2381" s="34"/>
    </row>
    <row r="2382">
      <c r="B2382" s="34"/>
    </row>
    <row r="2383">
      <c r="B2383" s="34"/>
    </row>
    <row r="2384">
      <c r="B2384" s="34"/>
    </row>
    <row r="2385">
      <c r="B2385" s="34"/>
    </row>
    <row r="2386">
      <c r="B2386" s="34"/>
    </row>
    <row r="2387">
      <c r="B2387" s="34"/>
    </row>
    <row r="2388">
      <c r="B2388" s="34"/>
    </row>
    <row r="2389">
      <c r="B2389" s="34"/>
    </row>
    <row r="2390">
      <c r="B2390" s="34"/>
    </row>
    <row r="2391">
      <c r="B2391" s="34"/>
    </row>
    <row r="2392">
      <c r="B2392" s="34"/>
    </row>
    <row r="2393">
      <c r="B2393" s="34"/>
    </row>
    <row r="2394">
      <c r="B2394" s="34"/>
    </row>
    <row r="2395">
      <c r="B2395" s="34"/>
    </row>
    <row r="2396">
      <c r="B2396" s="34"/>
    </row>
    <row r="2397">
      <c r="B2397" s="34"/>
    </row>
    <row r="2398">
      <c r="B2398" s="34"/>
    </row>
    <row r="2399">
      <c r="B2399" s="34"/>
    </row>
    <row r="2400">
      <c r="B2400" s="34"/>
    </row>
    <row r="2401">
      <c r="B2401" s="34"/>
    </row>
    <row r="2402">
      <c r="B2402" s="34"/>
    </row>
    <row r="2403">
      <c r="B2403" s="34"/>
    </row>
    <row r="2404">
      <c r="B2404" s="34"/>
    </row>
    <row r="2405">
      <c r="B2405" s="34"/>
    </row>
    <row r="2406">
      <c r="B2406" s="34"/>
    </row>
    <row r="2407">
      <c r="B2407" s="34"/>
    </row>
    <row r="2408">
      <c r="B2408" s="34"/>
    </row>
    <row r="2409">
      <c r="B2409" s="34"/>
    </row>
    <row r="2410">
      <c r="B2410" s="34"/>
    </row>
    <row r="2411">
      <c r="B2411" s="34"/>
    </row>
    <row r="2412">
      <c r="B2412" s="34"/>
    </row>
    <row r="2413">
      <c r="B2413" s="34"/>
    </row>
    <row r="2414">
      <c r="B2414" s="34"/>
    </row>
    <row r="2415">
      <c r="B2415" s="34"/>
    </row>
    <row r="2416">
      <c r="B2416" s="34"/>
    </row>
    <row r="2417">
      <c r="B2417" s="34"/>
    </row>
    <row r="2418">
      <c r="B2418" s="34"/>
    </row>
    <row r="2419">
      <c r="B2419" s="34"/>
    </row>
    <row r="2420">
      <c r="B2420" s="34"/>
    </row>
    <row r="2421">
      <c r="B2421" s="34"/>
    </row>
    <row r="2422">
      <c r="B2422" s="34"/>
    </row>
    <row r="2423">
      <c r="B2423" s="34"/>
    </row>
    <row r="2424">
      <c r="B2424" s="34"/>
    </row>
    <row r="2425">
      <c r="B2425" s="34"/>
    </row>
    <row r="2426">
      <c r="B2426" s="34"/>
    </row>
    <row r="2427">
      <c r="B2427" s="34"/>
    </row>
    <row r="2428">
      <c r="B2428" s="34"/>
    </row>
    <row r="2429">
      <c r="B2429" s="34"/>
    </row>
    <row r="2430">
      <c r="B2430" s="34"/>
    </row>
    <row r="2431">
      <c r="B2431" s="34"/>
    </row>
    <row r="2432">
      <c r="B2432" s="34"/>
    </row>
    <row r="2433">
      <c r="B2433" s="34"/>
    </row>
    <row r="2434">
      <c r="B2434" s="34"/>
    </row>
    <row r="2435">
      <c r="B2435" s="34"/>
    </row>
    <row r="2436">
      <c r="B2436" s="34"/>
    </row>
    <row r="2437">
      <c r="B2437" s="34"/>
    </row>
    <row r="2438">
      <c r="B2438" s="34"/>
    </row>
    <row r="2439">
      <c r="B2439" s="34"/>
    </row>
    <row r="2440">
      <c r="B2440" s="34"/>
    </row>
    <row r="2441">
      <c r="B2441" s="34"/>
    </row>
    <row r="2442">
      <c r="B2442" s="34"/>
    </row>
    <row r="2443">
      <c r="B2443" s="34"/>
    </row>
    <row r="2444">
      <c r="B2444" s="34"/>
    </row>
    <row r="2445">
      <c r="B2445" s="34"/>
    </row>
    <row r="2446">
      <c r="B2446" s="34"/>
    </row>
    <row r="2447">
      <c r="B2447" s="34"/>
    </row>
    <row r="2448">
      <c r="B2448" s="34"/>
    </row>
    <row r="2449">
      <c r="B2449" s="34"/>
    </row>
    <row r="2450">
      <c r="B2450" s="34"/>
    </row>
    <row r="2451">
      <c r="B2451" s="34"/>
    </row>
    <row r="2452">
      <c r="B2452" s="34"/>
    </row>
    <row r="2453">
      <c r="B2453" s="34"/>
    </row>
    <row r="2454">
      <c r="B2454" s="34"/>
    </row>
    <row r="2455">
      <c r="B2455" s="34"/>
    </row>
    <row r="2456">
      <c r="B2456" s="34"/>
    </row>
    <row r="2457">
      <c r="B2457" s="34"/>
    </row>
    <row r="2458">
      <c r="B2458" s="34"/>
    </row>
    <row r="2459">
      <c r="B2459" s="34"/>
    </row>
    <row r="2460">
      <c r="B2460" s="34"/>
    </row>
    <row r="2461">
      <c r="B2461" s="34"/>
    </row>
    <row r="2462">
      <c r="B2462" s="34"/>
    </row>
    <row r="2463">
      <c r="B2463" s="34"/>
    </row>
    <row r="2464">
      <c r="B2464" s="34"/>
    </row>
    <row r="2465">
      <c r="B2465" s="34"/>
    </row>
    <row r="2466">
      <c r="B2466" s="34"/>
    </row>
    <row r="2467">
      <c r="B2467" s="34"/>
    </row>
    <row r="2468">
      <c r="B2468" s="34"/>
    </row>
    <row r="2469">
      <c r="B2469" s="34"/>
    </row>
    <row r="2470">
      <c r="B2470" s="34"/>
    </row>
    <row r="2471">
      <c r="B2471" s="34"/>
    </row>
    <row r="2472">
      <c r="B2472" s="34"/>
    </row>
    <row r="2473">
      <c r="B2473" s="34"/>
    </row>
    <row r="2474">
      <c r="B2474" s="34"/>
    </row>
    <row r="2475">
      <c r="B2475" s="34"/>
    </row>
    <row r="2476">
      <c r="B2476" s="34"/>
    </row>
    <row r="2477">
      <c r="B2477" s="34"/>
    </row>
    <row r="2478">
      <c r="B2478" s="34"/>
    </row>
    <row r="2479">
      <c r="B2479" s="34"/>
    </row>
    <row r="2480">
      <c r="B2480" s="34"/>
    </row>
    <row r="2481">
      <c r="B2481" s="34"/>
    </row>
    <row r="2482">
      <c r="B2482" s="34"/>
    </row>
    <row r="2483">
      <c r="B2483" s="34"/>
    </row>
    <row r="2484">
      <c r="B2484" s="34"/>
    </row>
    <row r="2485">
      <c r="B2485" s="34"/>
    </row>
    <row r="2486">
      <c r="B2486" s="34"/>
    </row>
    <row r="2487">
      <c r="B2487" s="34"/>
    </row>
    <row r="2488">
      <c r="B2488" s="34"/>
    </row>
    <row r="2489">
      <c r="B2489" s="34"/>
    </row>
    <row r="2490">
      <c r="B2490" s="34"/>
    </row>
    <row r="2491">
      <c r="B2491" s="34"/>
    </row>
    <row r="2492">
      <c r="B2492" s="34"/>
    </row>
    <row r="2493">
      <c r="B2493" s="34"/>
    </row>
    <row r="2494">
      <c r="B2494" s="34"/>
    </row>
    <row r="2495">
      <c r="B2495" s="34"/>
    </row>
    <row r="2496">
      <c r="B2496" s="34"/>
    </row>
    <row r="2497">
      <c r="B2497" s="34"/>
    </row>
    <row r="2498">
      <c r="B2498" s="34"/>
    </row>
    <row r="2499">
      <c r="B2499" s="34"/>
    </row>
    <row r="2500">
      <c r="B2500" s="34"/>
    </row>
    <row r="2501">
      <c r="B2501" s="34"/>
    </row>
    <row r="2502">
      <c r="B2502" s="34"/>
    </row>
    <row r="2503">
      <c r="B2503" s="34"/>
    </row>
    <row r="2504">
      <c r="B2504" s="34"/>
    </row>
    <row r="2505">
      <c r="B2505" s="34"/>
    </row>
    <row r="2506">
      <c r="B2506" s="34"/>
    </row>
    <row r="2507">
      <c r="B2507" s="34"/>
    </row>
    <row r="2508">
      <c r="B2508" s="34"/>
    </row>
    <row r="2509">
      <c r="B2509" s="34"/>
    </row>
    <row r="2510">
      <c r="B2510" s="34"/>
    </row>
    <row r="2511">
      <c r="B2511" s="34"/>
    </row>
    <row r="2512">
      <c r="B2512" s="34"/>
    </row>
    <row r="2513">
      <c r="B2513" s="34"/>
    </row>
    <row r="2514">
      <c r="B2514" s="34"/>
    </row>
    <row r="2515">
      <c r="B2515" s="34"/>
    </row>
    <row r="2516">
      <c r="B2516" s="34"/>
    </row>
    <row r="2517">
      <c r="B2517" s="34"/>
    </row>
    <row r="2518">
      <c r="B2518" s="34"/>
    </row>
    <row r="2519">
      <c r="B2519" s="34"/>
    </row>
    <row r="2520">
      <c r="B2520" s="34"/>
    </row>
    <row r="2521">
      <c r="B2521" s="34"/>
    </row>
    <row r="2522">
      <c r="B2522" s="34"/>
    </row>
    <row r="2523">
      <c r="B2523" s="34"/>
    </row>
    <row r="2524">
      <c r="B2524" s="34"/>
    </row>
    <row r="2525">
      <c r="B2525" s="34"/>
    </row>
    <row r="2526">
      <c r="B2526" s="34"/>
    </row>
    <row r="2527">
      <c r="B2527" s="34"/>
    </row>
    <row r="2528">
      <c r="B2528" s="34"/>
    </row>
    <row r="2529">
      <c r="B2529" s="34"/>
    </row>
    <row r="2530">
      <c r="B2530" s="34"/>
    </row>
    <row r="2531">
      <c r="B2531" s="34"/>
    </row>
    <row r="2532">
      <c r="B2532" s="34"/>
    </row>
    <row r="2533">
      <c r="B2533" s="34"/>
    </row>
    <row r="2534">
      <c r="B2534" s="34"/>
    </row>
    <row r="2535">
      <c r="B2535" s="34"/>
    </row>
    <row r="2536">
      <c r="B2536" s="34"/>
    </row>
    <row r="2537">
      <c r="B2537" s="34"/>
    </row>
    <row r="2538">
      <c r="B2538" s="34"/>
    </row>
    <row r="2539">
      <c r="B2539" s="34"/>
    </row>
    <row r="2540">
      <c r="B2540" s="34"/>
    </row>
    <row r="2541">
      <c r="B2541" s="34"/>
    </row>
    <row r="2542">
      <c r="B2542" s="34"/>
    </row>
    <row r="2543">
      <c r="B2543" s="34"/>
    </row>
    <row r="2544">
      <c r="B2544" s="34"/>
    </row>
    <row r="2545">
      <c r="B2545" s="34"/>
    </row>
    <row r="2546">
      <c r="B2546" s="34"/>
    </row>
    <row r="2547">
      <c r="B2547" s="34"/>
    </row>
    <row r="2548">
      <c r="B2548" s="34"/>
    </row>
    <row r="2549">
      <c r="B2549" s="34"/>
    </row>
    <row r="2550">
      <c r="B2550" s="34"/>
    </row>
    <row r="2551">
      <c r="B2551" s="34"/>
    </row>
    <row r="2552">
      <c r="B2552" s="34"/>
    </row>
    <row r="2553">
      <c r="B2553" s="34"/>
    </row>
    <row r="2554">
      <c r="B2554" s="34"/>
    </row>
    <row r="2555">
      <c r="B2555" s="34"/>
    </row>
    <row r="2556">
      <c r="B2556" s="34"/>
    </row>
    <row r="2557">
      <c r="B2557" s="34"/>
    </row>
    <row r="2558">
      <c r="B2558" s="34"/>
    </row>
    <row r="2559">
      <c r="B2559" s="34"/>
    </row>
    <row r="2560">
      <c r="B2560" s="34"/>
    </row>
    <row r="2561">
      <c r="B2561" s="34"/>
    </row>
    <row r="2562">
      <c r="B2562" s="34"/>
    </row>
    <row r="2563">
      <c r="B2563" s="34"/>
    </row>
    <row r="2564">
      <c r="B2564" s="34"/>
    </row>
    <row r="2565">
      <c r="B2565" s="34"/>
    </row>
    <row r="2566">
      <c r="B2566" s="34"/>
    </row>
    <row r="2567">
      <c r="B2567" s="34"/>
    </row>
    <row r="2568">
      <c r="B2568" s="34"/>
    </row>
    <row r="2569">
      <c r="B2569" s="34"/>
    </row>
    <row r="2570">
      <c r="B2570" s="34"/>
    </row>
    <row r="2571">
      <c r="B2571" s="34"/>
    </row>
    <row r="2572">
      <c r="B2572" s="34"/>
    </row>
    <row r="2573">
      <c r="B2573" s="34"/>
    </row>
    <row r="2574">
      <c r="B2574" s="34"/>
    </row>
    <row r="2575">
      <c r="B2575" s="34"/>
    </row>
    <row r="2576">
      <c r="B2576" s="34"/>
    </row>
    <row r="2577">
      <c r="B2577" s="34"/>
    </row>
    <row r="2578">
      <c r="B2578" s="34"/>
    </row>
    <row r="2579">
      <c r="B2579" s="34"/>
    </row>
    <row r="2580">
      <c r="B2580" s="34"/>
    </row>
    <row r="2581">
      <c r="B2581" s="34"/>
    </row>
    <row r="2582">
      <c r="B2582" s="34"/>
    </row>
    <row r="2583">
      <c r="B2583" s="34"/>
    </row>
    <row r="2584">
      <c r="B2584" s="34"/>
    </row>
    <row r="2585">
      <c r="B2585" s="34"/>
    </row>
    <row r="2586">
      <c r="B2586" s="34"/>
    </row>
    <row r="2587">
      <c r="B2587" s="34"/>
    </row>
    <row r="2588">
      <c r="B2588" s="34"/>
    </row>
    <row r="2589">
      <c r="B2589" s="34"/>
    </row>
    <row r="2590">
      <c r="B2590" s="34"/>
    </row>
    <row r="2591">
      <c r="B2591" s="34"/>
    </row>
    <row r="2592">
      <c r="B2592" s="34"/>
    </row>
    <row r="2593">
      <c r="B2593" s="34"/>
    </row>
    <row r="2594">
      <c r="B2594" s="34"/>
    </row>
    <row r="2595">
      <c r="B2595" s="34"/>
    </row>
    <row r="2596">
      <c r="B2596" s="34"/>
    </row>
    <row r="2597">
      <c r="B2597" s="34"/>
    </row>
    <row r="2598">
      <c r="B2598" s="34"/>
    </row>
    <row r="2599">
      <c r="B2599" s="34"/>
    </row>
    <row r="2600">
      <c r="B2600" s="34"/>
    </row>
    <row r="2601">
      <c r="B2601" s="34"/>
    </row>
    <row r="2602">
      <c r="B2602" s="34"/>
    </row>
    <row r="2603">
      <c r="B2603" s="34"/>
    </row>
    <row r="2604">
      <c r="B2604" s="34"/>
    </row>
    <row r="2605">
      <c r="B2605" s="34"/>
    </row>
    <row r="2606">
      <c r="B2606" s="34"/>
    </row>
    <row r="2607">
      <c r="B2607" s="34"/>
    </row>
    <row r="2608">
      <c r="B2608" s="34"/>
    </row>
    <row r="2609">
      <c r="B2609" s="34"/>
    </row>
    <row r="2610">
      <c r="B2610" s="34"/>
    </row>
    <row r="2611">
      <c r="B2611" s="34"/>
    </row>
    <row r="2612">
      <c r="B2612" s="34"/>
    </row>
    <row r="2613">
      <c r="B2613" s="34"/>
    </row>
    <row r="2614">
      <c r="B2614" s="34"/>
    </row>
    <row r="2615">
      <c r="B2615" s="34"/>
    </row>
    <row r="2616">
      <c r="B2616" s="34"/>
    </row>
    <row r="2617">
      <c r="B2617" s="34"/>
    </row>
    <row r="2618">
      <c r="B2618" s="34"/>
    </row>
    <row r="2619">
      <c r="B2619" s="34"/>
    </row>
    <row r="2620">
      <c r="B2620" s="34"/>
    </row>
    <row r="2621">
      <c r="B2621" s="34"/>
    </row>
    <row r="2622">
      <c r="B2622" s="34"/>
    </row>
    <row r="2623">
      <c r="B2623" s="34"/>
    </row>
    <row r="2624">
      <c r="B2624" s="34"/>
    </row>
    <row r="2625">
      <c r="B2625" s="34"/>
    </row>
    <row r="2626">
      <c r="B2626" s="34"/>
    </row>
    <row r="2627">
      <c r="B2627" s="34"/>
    </row>
    <row r="2628">
      <c r="B2628" s="34"/>
    </row>
    <row r="2629">
      <c r="B2629" s="34"/>
    </row>
    <row r="2630">
      <c r="B2630" s="34"/>
    </row>
    <row r="2631">
      <c r="B2631" s="34"/>
    </row>
    <row r="2632">
      <c r="B2632" s="34"/>
    </row>
    <row r="2633">
      <c r="B2633" s="34"/>
    </row>
    <row r="2634">
      <c r="B2634" s="34"/>
    </row>
    <row r="2635">
      <c r="B2635" s="34"/>
    </row>
    <row r="2636">
      <c r="B2636" s="34"/>
    </row>
    <row r="2637">
      <c r="B2637" s="34"/>
    </row>
    <row r="2638">
      <c r="B2638" s="34"/>
    </row>
    <row r="2639">
      <c r="B2639" s="34"/>
    </row>
    <row r="2640">
      <c r="B2640" s="34"/>
    </row>
    <row r="2641">
      <c r="B2641" s="34"/>
    </row>
    <row r="2642">
      <c r="B2642" s="34"/>
    </row>
    <row r="2643">
      <c r="B2643" s="34"/>
    </row>
    <row r="2644">
      <c r="B2644" s="34"/>
    </row>
    <row r="2645">
      <c r="B2645" s="34"/>
    </row>
    <row r="2646">
      <c r="B2646" s="34"/>
    </row>
    <row r="2647">
      <c r="B2647" s="34"/>
    </row>
    <row r="2648">
      <c r="B2648" s="34"/>
    </row>
    <row r="2649">
      <c r="B2649" s="34"/>
    </row>
    <row r="2650">
      <c r="B2650" s="34"/>
    </row>
    <row r="2651">
      <c r="B2651" s="34"/>
    </row>
    <row r="2652">
      <c r="B2652" s="34"/>
    </row>
    <row r="2653">
      <c r="B2653" s="34"/>
    </row>
    <row r="2654">
      <c r="B2654" s="34"/>
    </row>
    <row r="2655">
      <c r="B2655" s="34"/>
    </row>
    <row r="2656">
      <c r="B2656" s="34"/>
    </row>
    <row r="2657">
      <c r="B2657" s="34"/>
    </row>
    <row r="2658">
      <c r="B2658" s="34"/>
    </row>
    <row r="2659">
      <c r="B2659" s="34"/>
    </row>
    <row r="2660">
      <c r="B2660" s="34"/>
    </row>
    <row r="2661">
      <c r="B2661" s="34"/>
    </row>
    <row r="2662">
      <c r="B2662" s="34"/>
    </row>
    <row r="2663">
      <c r="B2663" s="34"/>
    </row>
    <row r="2664">
      <c r="B2664" s="34"/>
    </row>
    <row r="2665">
      <c r="B2665" s="34"/>
    </row>
    <row r="2666">
      <c r="B2666" s="34"/>
    </row>
    <row r="2667">
      <c r="B2667" s="34"/>
    </row>
    <row r="2668">
      <c r="B2668" s="34"/>
    </row>
    <row r="2669">
      <c r="B2669" s="34"/>
    </row>
    <row r="2670">
      <c r="B2670" s="34"/>
    </row>
    <row r="2671">
      <c r="B2671" s="34"/>
    </row>
    <row r="2672">
      <c r="B2672" s="34"/>
    </row>
    <row r="2673">
      <c r="B2673" s="34"/>
    </row>
    <row r="2674">
      <c r="B2674" s="34"/>
    </row>
    <row r="2675">
      <c r="B2675" s="34"/>
    </row>
    <row r="2676">
      <c r="B2676" s="34"/>
    </row>
    <row r="2677">
      <c r="B2677" s="34"/>
    </row>
    <row r="2678">
      <c r="B2678" s="34"/>
    </row>
    <row r="2679">
      <c r="B2679" s="34"/>
    </row>
    <row r="2680">
      <c r="B2680" s="34"/>
    </row>
    <row r="2681">
      <c r="B2681" s="34"/>
    </row>
    <row r="2682">
      <c r="B2682" s="34"/>
    </row>
    <row r="2683">
      <c r="B2683" s="34"/>
    </row>
    <row r="2684">
      <c r="B2684" s="34"/>
    </row>
    <row r="2685">
      <c r="B2685" s="34"/>
    </row>
    <row r="2686">
      <c r="B2686" s="34"/>
    </row>
    <row r="2687">
      <c r="B2687" s="34"/>
    </row>
    <row r="2688">
      <c r="B2688" s="34"/>
    </row>
    <row r="2689">
      <c r="B2689" s="34"/>
    </row>
    <row r="2690">
      <c r="B2690" s="34"/>
    </row>
    <row r="2691">
      <c r="B2691" s="34"/>
    </row>
    <row r="2692">
      <c r="B2692" s="34"/>
    </row>
    <row r="2693">
      <c r="B2693" s="34"/>
    </row>
    <row r="2694">
      <c r="B2694" s="34"/>
    </row>
    <row r="2695">
      <c r="B2695" s="34"/>
    </row>
    <row r="2696">
      <c r="B2696" s="34"/>
    </row>
    <row r="2697">
      <c r="B2697" s="34"/>
    </row>
    <row r="2698">
      <c r="B2698" s="34"/>
    </row>
    <row r="2699">
      <c r="B2699" s="34"/>
    </row>
    <row r="2700">
      <c r="B2700" s="34"/>
    </row>
    <row r="2701">
      <c r="B2701" s="34"/>
    </row>
    <row r="2702">
      <c r="B2702" s="34"/>
    </row>
    <row r="2703">
      <c r="B2703" s="34"/>
    </row>
    <row r="2704">
      <c r="B2704" s="34"/>
    </row>
    <row r="2705">
      <c r="B2705" s="34"/>
    </row>
    <row r="2706">
      <c r="B2706" s="34"/>
    </row>
    <row r="2707">
      <c r="B2707" s="34"/>
    </row>
    <row r="2708">
      <c r="B2708" s="34"/>
    </row>
    <row r="2709">
      <c r="B2709" s="34"/>
    </row>
    <row r="2710">
      <c r="B2710" s="34"/>
    </row>
    <row r="2711">
      <c r="B2711" s="34"/>
    </row>
    <row r="2712">
      <c r="B2712" s="34"/>
    </row>
    <row r="2713">
      <c r="B2713" s="34"/>
    </row>
    <row r="2714">
      <c r="B2714" s="34"/>
    </row>
    <row r="2715">
      <c r="B2715" s="34"/>
    </row>
    <row r="2716">
      <c r="B2716" s="34"/>
    </row>
    <row r="2717">
      <c r="B2717" s="34"/>
    </row>
    <row r="2718">
      <c r="B2718" s="34"/>
    </row>
    <row r="2719">
      <c r="B2719" s="34"/>
    </row>
    <row r="2720">
      <c r="B2720" s="34"/>
    </row>
    <row r="2721">
      <c r="B2721" s="34"/>
    </row>
    <row r="2722">
      <c r="B2722" s="34"/>
    </row>
    <row r="2723">
      <c r="B2723" s="34"/>
    </row>
    <row r="2724">
      <c r="B2724" s="34"/>
    </row>
    <row r="2725">
      <c r="B2725" s="34"/>
    </row>
    <row r="2726">
      <c r="B2726" s="34"/>
    </row>
    <row r="2727">
      <c r="B2727" s="34"/>
    </row>
    <row r="2728">
      <c r="B2728" s="34"/>
    </row>
    <row r="2729">
      <c r="B2729" s="34"/>
    </row>
    <row r="2730">
      <c r="B2730" s="34"/>
    </row>
    <row r="2731">
      <c r="B2731" s="34"/>
    </row>
    <row r="2732">
      <c r="B2732" s="34"/>
    </row>
    <row r="2733">
      <c r="B2733" s="34"/>
    </row>
    <row r="2734">
      <c r="B2734" s="34"/>
    </row>
    <row r="2735">
      <c r="B2735" s="34"/>
    </row>
    <row r="2736">
      <c r="B2736" s="34"/>
    </row>
    <row r="2737">
      <c r="B2737" s="34"/>
    </row>
    <row r="2738">
      <c r="B2738" s="34"/>
    </row>
    <row r="2739">
      <c r="B2739" s="34"/>
    </row>
    <row r="2740">
      <c r="B2740" s="34"/>
    </row>
    <row r="2741">
      <c r="B2741" s="34"/>
    </row>
    <row r="2742">
      <c r="B2742" s="34"/>
    </row>
    <row r="2743">
      <c r="B2743" s="34"/>
    </row>
    <row r="2744">
      <c r="B2744" s="34"/>
    </row>
    <row r="2745">
      <c r="B2745" s="34"/>
    </row>
    <row r="2746">
      <c r="B2746" s="34"/>
    </row>
    <row r="2747">
      <c r="B2747" s="34"/>
    </row>
    <row r="2748">
      <c r="B2748" s="34"/>
    </row>
    <row r="2749">
      <c r="B2749" s="34"/>
    </row>
    <row r="2750">
      <c r="B2750" s="34"/>
    </row>
    <row r="2751">
      <c r="B2751" s="34"/>
    </row>
    <row r="2752">
      <c r="B2752" s="34"/>
    </row>
    <row r="2753">
      <c r="B2753" s="34"/>
    </row>
    <row r="2754">
      <c r="B2754" s="34"/>
    </row>
    <row r="2755">
      <c r="B2755" s="34"/>
    </row>
    <row r="2756">
      <c r="B2756" s="34"/>
    </row>
    <row r="2757">
      <c r="B2757" s="34"/>
    </row>
    <row r="2758">
      <c r="B2758" s="34"/>
    </row>
    <row r="2759">
      <c r="B2759" s="34"/>
    </row>
    <row r="2760">
      <c r="B2760" s="34"/>
    </row>
    <row r="2761">
      <c r="B2761" s="34"/>
    </row>
    <row r="2762">
      <c r="B2762" s="34"/>
    </row>
    <row r="2763">
      <c r="B2763" s="34"/>
    </row>
    <row r="2764">
      <c r="B2764" s="34"/>
    </row>
    <row r="2765">
      <c r="B2765" s="34"/>
    </row>
    <row r="2766">
      <c r="B2766" s="34"/>
    </row>
    <row r="2767">
      <c r="B2767" s="34"/>
    </row>
    <row r="2768">
      <c r="B2768" s="34"/>
    </row>
    <row r="2769">
      <c r="B2769" s="34"/>
    </row>
    <row r="2770">
      <c r="B2770" s="34"/>
    </row>
    <row r="2771">
      <c r="B2771" s="34"/>
    </row>
    <row r="2772">
      <c r="B2772" s="34"/>
    </row>
    <row r="2773">
      <c r="B2773" s="34"/>
    </row>
    <row r="2774">
      <c r="B2774" s="34"/>
    </row>
    <row r="2775">
      <c r="B2775" s="34"/>
    </row>
    <row r="2776">
      <c r="B2776" s="34"/>
    </row>
    <row r="2777">
      <c r="B2777" s="34"/>
    </row>
    <row r="2778">
      <c r="B2778" s="34"/>
    </row>
    <row r="2779">
      <c r="B2779" s="34"/>
    </row>
    <row r="2780">
      <c r="B2780" s="34"/>
    </row>
    <row r="2781">
      <c r="B2781" s="34"/>
    </row>
    <row r="2782">
      <c r="B2782" s="34"/>
    </row>
    <row r="2783">
      <c r="B2783" s="34"/>
    </row>
    <row r="2784">
      <c r="B2784" s="34"/>
    </row>
    <row r="2785">
      <c r="B2785" s="34"/>
    </row>
    <row r="2786">
      <c r="B2786" s="34"/>
    </row>
    <row r="2787">
      <c r="B2787" s="34"/>
    </row>
    <row r="2788">
      <c r="B2788" s="34"/>
    </row>
    <row r="2789">
      <c r="B2789" s="34"/>
    </row>
    <row r="2790">
      <c r="B2790" s="34"/>
    </row>
    <row r="2791">
      <c r="B2791" s="34"/>
    </row>
    <row r="2792">
      <c r="B2792" s="34"/>
    </row>
    <row r="2793">
      <c r="B2793" s="34"/>
    </row>
    <row r="2794">
      <c r="B2794" s="34"/>
    </row>
    <row r="2795">
      <c r="B2795" s="34"/>
    </row>
    <row r="2796">
      <c r="B2796" s="34"/>
    </row>
    <row r="2797">
      <c r="B2797" s="34"/>
    </row>
    <row r="2798">
      <c r="B2798" s="34"/>
    </row>
    <row r="2799">
      <c r="B2799" s="34"/>
    </row>
    <row r="2800">
      <c r="B2800" s="34"/>
    </row>
    <row r="2801">
      <c r="B2801" s="34"/>
    </row>
    <row r="2802">
      <c r="B2802" s="34"/>
    </row>
    <row r="2803">
      <c r="B2803" s="34"/>
    </row>
    <row r="2804">
      <c r="B2804" s="34"/>
    </row>
    <row r="2805">
      <c r="B2805" s="34"/>
    </row>
    <row r="2806">
      <c r="B2806" s="34"/>
    </row>
    <row r="2807">
      <c r="B2807" s="34"/>
    </row>
    <row r="2808">
      <c r="B2808" s="34"/>
    </row>
    <row r="2809">
      <c r="B2809" s="34"/>
    </row>
    <row r="2810">
      <c r="B2810" s="34"/>
    </row>
    <row r="2811">
      <c r="B2811" s="34"/>
    </row>
    <row r="2812">
      <c r="B2812" s="34"/>
    </row>
    <row r="2813">
      <c r="B2813" s="34"/>
    </row>
    <row r="2814">
      <c r="B2814" s="34"/>
    </row>
    <row r="2815">
      <c r="B2815" s="34"/>
    </row>
    <row r="2816">
      <c r="B2816" s="34"/>
    </row>
    <row r="2817">
      <c r="B2817" s="34"/>
    </row>
    <row r="2818">
      <c r="B2818" s="34"/>
    </row>
    <row r="2819">
      <c r="B2819" s="34"/>
    </row>
    <row r="2820">
      <c r="B2820" s="34"/>
    </row>
    <row r="2821">
      <c r="B2821" s="34"/>
    </row>
    <row r="2822">
      <c r="B2822" s="34"/>
    </row>
    <row r="2823">
      <c r="B2823" s="34"/>
    </row>
    <row r="2824">
      <c r="B2824" s="34"/>
    </row>
    <row r="2825">
      <c r="B2825" s="34"/>
    </row>
    <row r="2826">
      <c r="B2826" s="34"/>
    </row>
    <row r="2827">
      <c r="B2827" s="34"/>
    </row>
    <row r="2828">
      <c r="B2828" s="34"/>
    </row>
    <row r="2829">
      <c r="B2829" s="34"/>
    </row>
    <row r="2830">
      <c r="B2830" s="34"/>
    </row>
    <row r="2831">
      <c r="B2831" s="34"/>
    </row>
    <row r="2832">
      <c r="B2832" s="34"/>
    </row>
    <row r="2833">
      <c r="B2833" s="34"/>
    </row>
    <row r="2834">
      <c r="B2834" s="34"/>
    </row>
    <row r="2835">
      <c r="B2835" s="34"/>
    </row>
    <row r="2836">
      <c r="B2836" s="34"/>
    </row>
    <row r="2837">
      <c r="B2837" s="34"/>
    </row>
    <row r="2838">
      <c r="B2838" s="34"/>
    </row>
    <row r="2839">
      <c r="B2839" s="34"/>
    </row>
    <row r="2840">
      <c r="B2840" s="34"/>
    </row>
    <row r="2841">
      <c r="B2841" s="34"/>
    </row>
    <row r="2842">
      <c r="B2842" s="34"/>
    </row>
    <row r="2843">
      <c r="B2843" s="34"/>
    </row>
    <row r="2844">
      <c r="B2844" s="34"/>
    </row>
    <row r="2845">
      <c r="B2845" s="34"/>
    </row>
    <row r="2846">
      <c r="B2846" s="34"/>
    </row>
    <row r="2847">
      <c r="B2847" s="34"/>
    </row>
    <row r="2848">
      <c r="B2848" s="34"/>
    </row>
    <row r="2849">
      <c r="B2849" s="34"/>
    </row>
    <row r="2850">
      <c r="B2850" s="34"/>
    </row>
    <row r="2851">
      <c r="B2851" s="34"/>
    </row>
    <row r="2852">
      <c r="B2852" s="34"/>
    </row>
    <row r="2853">
      <c r="B2853" s="34"/>
    </row>
    <row r="2854">
      <c r="B2854" s="34"/>
    </row>
    <row r="2855">
      <c r="B2855" s="34"/>
    </row>
    <row r="2856">
      <c r="B2856" s="34"/>
    </row>
    <row r="2857">
      <c r="B2857" s="34"/>
    </row>
    <row r="2858">
      <c r="B2858" s="34"/>
    </row>
    <row r="2859">
      <c r="B2859" s="34"/>
    </row>
    <row r="2860">
      <c r="B2860" s="34"/>
    </row>
    <row r="2861">
      <c r="B2861" s="34"/>
    </row>
    <row r="2862">
      <c r="B2862" s="34"/>
    </row>
    <row r="2863">
      <c r="B2863" s="34"/>
    </row>
    <row r="2864">
      <c r="B2864" s="34"/>
    </row>
    <row r="2865">
      <c r="B2865" s="34"/>
    </row>
    <row r="2866">
      <c r="B2866" s="34"/>
    </row>
    <row r="2867">
      <c r="B2867" s="34"/>
    </row>
    <row r="2868">
      <c r="B2868" s="34"/>
    </row>
    <row r="2869">
      <c r="B2869" s="34"/>
    </row>
    <row r="2870">
      <c r="B2870" s="34"/>
    </row>
    <row r="2871">
      <c r="B2871" s="34"/>
    </row>
    <row r="2872">
      <c r="B2872" s="34"/>
    </row>
    <row r="2873">
      <c r="B2873" s="34"/>
    </row>
    <row r="2874">
      <c r="B2874" s="34"/>
    </row>
    <row r="2875">
      <c r="B2875" s="34"/>
    </row>
    <row r="2876">
      <c r="B2876" s="34"/>
    </row>
    <row r="2877">
      <c r="B2877" s="34"/>
    </row>
    <row r="2878">
      <c r="B2878" s="34"/>
    </row>
    <row r="2879">
      <c r="B2879" s="34"/>
    </row>
    <row r="2880">
      <c r="B2880" s="34"/>
    </row>
    <row r="2881">
      <c r="B2881" s="34"/>
    </row>
    <row r="2882">
      <c r="B2882" s="34"/>
    </row>
    <row r="2883">
      <c r="B2883" s="34"/>
    </row>
    <row r="2884">
      <c r="B2884" s="34"/>
    </row>
    <row r="2885">
      <c r="B2885" s="34"/>
    </row>
    <row r="2886">
      <c r="B2886" s="34"/>
    </row>
    <row r="2887">
      <c r="B2887" s="34"/>
    </row>
    <row r="2888">
      <c r="B2888" s="34"/>
    </row>
    <row r="2889">
      <c r="B2889" s="34"/>
    </row>
    <row r="2890">
      <c r="B2890" s="34"/>
    </row>
    <row r="2891">
      <c r="B2891" s="34"/>
    </row>
    <row r="2892">
      <c r="B2892" s="34"/>
    </row>
    <row r="2893">
      <c r="B2893" s="34"/>
    </row>
    <row r="2894">
      <c r="B2894" s="34"/>
    </row>
    <row r="2895">
      <c r="B2895" s="34"/>
    </row>
    <row r="2896">
      <c r="B2896" s="34"/>
    </row>
    <row r="2897">
      <c r="B2897" s="34"/>
    </row>
    <row r="2898">
      <c r="B2898" s="34"/>
    </row>
    <row r="2899">
      <c r="B2899" s="34"/>
    </row>
    <row r="2900">
      <c r="B2900" s="34"/>
    </row>
    <row r="2901">
      <c r="B2901" s="34"/>
    </row>
    <row r="2902">
      <c r="B2902" s="34"/>
    </row>
    <row r="2903">
      <c r="B2903" s="34"/>
    </row>
    <row r="2904">
      <c r="B2904" s="34"/>
    </row>
    <row r="2905">
      <c r="B2905" s="34"/>
    </row>
    <row r="2906">
      <c r="B2906" s="34"/>
    </row>
    <row r="2907">
      <c r="B2907" s="34"/>
    </row>
    <row r="2908">
      <c r="B2908" s="34"/>
    </row>
    <row r="2909">
      <c r="B2909" s="34"/>
    </row>
    <row r="2910">
      <c r="B2910" s="34"/>
    </row>
    <row r="2911">
      <c r="B2911" s="34"/>
    </row>
    <row r="2912">
      <c r="B2912" s="34"/>
    </row>
    <row r="2913">
      <c r="B2913" s="34"/>
    </row>
    <row r="2914">
      <c r="B2914" s="34"/>
    </row>
    <row r="2915">
      <c r="B2915" s="34"/>
    </row>
    <row r="2916">
      <c r="B2916" s="34"/>
    </row>
    <row r="2917">
      <c r="B2917" s="34"/>
    </row>
    <row r="2918">
      <c r="B2918" s="34"/>
    </row>
    <row r="2919">
      <c r="B2919" s="34"/>
    </row>
    <row r="2920">
      <c r="B2920" s="34"/>
    </row>
    <row r="2921">
      <c r="B2921" s="34"/>
    </row>
    <row r="2922">
      <c r="B2922" s="34"/>
    </row>
    <row r="2923">
      <c r="B2923" s="34"/>
    </row>
    <row r="2924">
      <c r="B2924" s="34"/>
    </row>
    <row r="2925">
      <c r="B2925" s="34"/>
    </row>
    <row r="2926">
      <c r="B2926" s="34"/>
    </row>
    <row r="2927">
      <c r="B2927" s="34"/>
    </row>
    <row r="2928">
      <c r="B2928" s="34"/>
    </row>
    <row r="2929">
      <c r="B2929" s="34"/>
    </row>
    <row r="2930">
      <c r="B2930" s="34"/>
    </row>
    <row r="2931">
      <c r="B2931" s="34"/>
    </row>
    <row r="2932">
      <c r="B2932" s="34"/>
    </row>
    <row r="2933">
      <c r="B2933" s="34"/>
    </row>
    <row r="2934">
      <c r="B2934" s="34"/>
    </row>
    <row r="2935">
      <c r="B2935" s="34"/>
    </row>
    <row r="2936">
      <c r="B2936" s="34"/>
    </row>
    <row r="2937">
      <c r="B2937" s="34"/>
    </row>
    <row r="2938">
      <c r="B2938" s="34"/>
    </row>
    <row r="2939">
      <c r="B2939" s="34"/>
    </row>
    <row r="2940">
      <c r="B2940" s="34"/>
    </row>
    <row r="2941">
      <c r="B2941" s="34"/>
    </row>
    <row r="2942">
      <c r="B2942" s="34"/>
    </row>
    <row r="2943">
      <c r="B2943" s="34"/>
    </row>
    <row r="2944">
      <c r="B2944" s="34"/>
    </row>
    <row r="2945">
      <c r="B2945" s="34"/>
    </row>
    <row r="2946">
      <c r="B2946" s="34"/>
    </row>
    <row r="2947">
      <c r="B2947" s="34"/>
    </row>
    <row r="2948">
      <c r="B2948" s="34"/>
    </row>
    <row r="2949">
      <c r="B2949" s="34"/>
    </row>
    <row r="2950">
      <c r="B2950" s="34"/>
    </row>
    <row r="2951">
      <c r="B2951" s="34"/>
    </row>
    <row r="2952">
      <c r="B2952" s="34"/>
    </row>
    <row r="2953">
      <c r="B2953" s="34"/>
    </row>
    <row r="2954">
      <c r="B2954" s="34"/>
    </row>
    <row r="2955">
      <c r="B2955" s="34"/>
    </row>
    <row r="2956">
      <c r="B2956" s="34"/>
    </row>
    <row r="2957">
      <c r="B2957" s="34"/>
    </row>
    <row r="2958">
      <c r="B2958" s="34"/>
    </row>
    <row r="2959">
      <c r="B2959" s="34"/>
    </row>
    <row r="2960">
      <c r="B2960" s="34"/>
    </row>
    <row r="2961">
      <c r="B2961" s="34"/>
    </row>
    <row r="2962">
      <c r="B2962" s="34"/>
    </row>
    <row r="2963">
      <c r="B2963" s="34"/>
    </row>
    <row r="2964">
      <c r="B2964" s="34"/>
    </row>
    <row r="2965">
      <c r="B2965" s="34"/>
    </row>
    <row r="2966">
      <c r="B2966" s="34"/>
    </row>
    <row r="2967">
      <c r="B2967" s="34"/>
    </row>
    <row r="2968">
      <c r="B2968" s="34"/>
    </row>
    <row r="2969">
      <c r="B2969" s="34"/>
    </row>
    <row r="2970">
      <c r="B2970" s="34"/>
    </row>
    <row r="2971">
      <c r="B2971" s="34"/>
    </row>
    <row r="2972">
      <c r="B2972" s="34"/>
    </row>
    <row r="2973">
      <c r="B2973" s="34"/>
    </row>
    <row r="2974">
      <c r="B2974" s="34"/>
    </row>
    <row r="2975">
      <c r="B2975" s="34"/>
    </row>
    <row r="2976">
      <c r="B2976" s="34"/>
    </row>
    <row r="2977">
      <c r="B2977" s="34"/>
    </row>
    <row r="2978">
      <c r="B2978" s="34"/>
    </row>
    <row r="2979">
      <c r="B2979" s="34"/>
    </row>
    <row r="2980">
      <c r="B2980" s="34"/>
    </row>
    <row r="2981">
      <c r="B2981" s="34"/>
    </row>
    <row r="2982">
      <c r="B2982" s="34"/>
    </row>
    <row r="2983">
      <c r="B2983" s="34"/>
    </row>
    <row r="2984">
      <c r="B2984" s="34"/>
    </row>
    <row r="2985">
      <c r="B2985" s="34"/>
    </row>
    <row r="2986">
      <c r="B2986" s="34"/>
    </row>
    <row r="2987">
      <c r="B2987" s="34"/>
    </row>
    <row r="2988">
      <c r="B2988" s="34"/>
    </row>
    <row r="2989">
      <c r="B2989" s="34"/>
    </row>
    <row r="2990">
      <c r="B2990" s="34"/>
    </row>
    <row r="2991">
      <c r="B2991" s="34"/>
    </row>
    <row r="2992">
      <c r="B2992" s="34"/>
    </row>
    <row r="2993">
      <c r="B2993" s="34"/>
    </row>
    <row r="2994">
      <c r="B2994" s="34"/>
    </row>
    <row r="2995">
      <c r="B2995" s="34"/>
    </row>
    <row r="2996">
      <c r="B2996" s="34"/>
    </row>
    <row r="2997">
      <c r="B2997" s="34"/>
    </row>
    <row r="2998">
      <c r="B2998" s="34"/>
    </row>
    <row r="2999">
      <c r="B2999" s="34"/>
    </row>
    <row r="3000">
      <c r="B3000" s="34"/>
    </row>
    <row r="3001">
      <c r="B3001" s="34"/>
    </row>
    <row r="3002">
      <c r="B3002" s="34"/>
    </row>
    <row r="3003">
      <c r="B3003" s="34"/>
    </row>
    <row r="3004">
      <c r="B3004" s="34"/>
    </row>
    <row r="3005">
      <c r="B3005" s="34"/>
    </row>
    <row r="3006">
      <c r="B3006" s="34"/>
    </row>
    <row r="3007">
      <c r="B3007" s="34"/>
    </row>
    <row r="3008">
      <c r="B3008" s="34"/>
    </row>
    <row r="3009">
      <c r="B3009" s="34"/>
    </row>
    <row r="3010">
      <c r="B3010" s="34"/>
    </row>
    <row r="3011">
      <c r="B3011" s="34"/>
    </row>
    <row r="3012">
      <c r="B3012" s="34"/>
    </row>
    <row r="3013">
      <c r="B3013" s="34"/>
    </row>
    <row r="3014">
      <c r="B3014" s="34"/>
    </row>
    <row r="3015">
      <c r="B3015" s="34"/>
    </row>
    <row r="3016">
      <c r="B3016" s="34"/>
    </row>
    <row r="3017">
      <c r="B3017" s="34"/>
    </row>
    <row r="3018">
      <c r="B3018" s="34"/>
    </row>
    <row r="3019">
      <c r="B3019" s="34"/>
    </row>
    <row r="3020">
      <c r="B3020" s="34"/>
    </row>
    <row r="3021">
      <c r="B3021" s="34"/>
    </row>
    <row r="3022">
      <c r="B3022" s="34"/>
    </row>
    <row r="3023">
      <c r="B3023" s="34"/>
    </row>
    <row r="3024">
      <c r="B3024" s="34"/>
    </row>
    <row r="3025">
      <c r="B3025" s="34"/>
    </row>
    <row r="3026">
      <c r="B3026" s="34"/>
    </row>
    <row r="3027">
      <c r="B3027" s="34"/>
    </row>
    <row r="3028">
      <c r="B3028" s="34"/>
    </row>
    <row r="3029">
      <c r="B3029" s="34"/>
    </row>
    <row r="3030">
      <c r="B3030" s="34"/>
    </row>
    <row r="3031">
      <c r="B3031" s="34"/>
    </row>
    <row r="3032">
      <c r="B3032" s="34"/>
    </row>
    <row r="3033">
      <c r="B3033" s="34"/>
    </row>
    <row r="3034">
      <c r="B3034" s="34"/>
    </row>
    <row r="3035">
      <c r="B3035" s="34"/>
    </row>
    <row r="3036">
      <c r="B3036" s="34"/>
    </row>
    <row r="3037">
      <c r="B3037" s="34"/>
    </row>
    <row r="3038">
      <c r="B3038" s="34"/>
    </row>
    <row r="3039">
      <c r="B3039" s="34"/>
    </row>
    <row r="3040">
      <c r="B3040" s="34"/>
    </row>
    <row r="3041">
      <c r="B3041" s="34"/>
    </row>
    <row r="3042">
      <c r="B3042" s="34"/>
    </row>
    <row r="3043">
      <c r="B3043" s="34"/>
    </row>
    <row r="3044">
      <c r="B3044" s="34"/>
    </row>
    <row r="3045">
      <c r="B3045" s="34"/>
    </row>
    <row r="3046">
      <c r="B3046" s="34"/>
    </row>
    <row r="3047">
      <c r="B3047" s="34"/>
    </row>
    <row r="3048">
      <c r="B3048" s="34"/>
    </row>
    <row r="3049">
      <c r="B3049" s="34"/>
    </row>
    <row r="3050">
      <c r="B3050" s="34"/>
    </row>
    <row r="3051">
      <c r="B3051" s="34"/>
    </row>
    <row r="3052">
      <c r="B3052" s="34"/>
    </row>
    <row r="3053">
      <c r="B3053" s="34"/>
    </row>
    <row r="3054">
      <c r="B3054" s="34"/>
    </row>
    <row r="3055">
      <c r="B3055" s="34"/>
    </row>
    <row r="3056">
      <c r="B3056" s="34"/>
    </row>
    <row r="3057">
      <c r="B3057" s="34"/>
    </row>
    <row r="3058">
      <c r="B3058" s="34"/>
    </row>
    <row r="3059">
      <c r="B3059" s="34"/>
    </row>
    <row r="3060">
      <c r="B3060" s="34"/>
    </row>
    <row r="3061">
      <c r="B3061" s="34"/>
    </row>
    <row r="3062">
      <c r="B3062" s="34"/>
    </row>
    <row r="3063">
      <c r="B3063" s="34"/>
    </row>
    <row r="3064">
      <c r="B3064" s="34"/>
    </row>
    <row r="3065">
      <c r="B3065" s="34"/>
    </row>
    <row r="3066">
      <c r="B3066" s="34"/>
    </row>
    <row r="3067">
      <c r="B3067" s="34"/>
    </row>
    <row r="3068">
      <c r="B3068" s="34"/>
    </row>
    <row r="3069">
      <c r="B3069" s="34"/>
    </row>
    <row r="3070">
      <c r="B3070" s="34"/>
    </row>
    <row r="3071">
      <c r="B3071" s="34"/>
    </row>
    <row r="3072">
      <c r="B3072" s="34"/>
    </row>
    <row r="3073">
      <c r="B3073" s="34"/>
    </row>
    <row r="3074">
      <c r="B3074" s="34"/>
    </row>
    <row r="3075">
      <c r="B3075" s="34"/>
    </row>
    <row r="3076">
      <c r="B3076" s="34"/>
    </row>
    <row r="3077">
      <c r="B3077" s="34"/>
    </row>
    <row r="3078">
      <c r="B3078" s="34"/>
    </row>
    <row r="3079">
      <c r="B3079" s="34"/>
    </row>
    <row r="3080">
      <c r="B3080" s="34"/>
    </row>
    <row r="3081">
      <c r="B3081" s="34"/>
    </row>
    <row r="3082">
      <c r="B3082" s="34"/>
    </row>
    <row r="3083">
      <c r="B3083" s="34"/>
    </row>
    <row r="3084">
      <c r="B3084" s="34"/>
    </row>
    <row r="3085">
      <c r="B3085" s="34"/>
    </row>
    <row r="3086">
      <c r="B3086" s="34"/>
    </row>
    <row r="3087">
      <c r="B3087" s="34"/>
    </row>
    <row r="3088">
      <c r="B3088" s="34"/>
    </row>
    <row r="3089">
      <c r="B3089" s="34"/>
    </row>
    <row r="3090">
      <c r="B3090" s="34"/>
    </row>
    <row r="3091">
      <c r="B3091" s="34"/>
    </row>
    <row r="3092">
      <c r="B3092" s="34"/>
    </row>
    <row r="3093">
      <c r="B3093" s="34"/>
    </row>
    <row r="3094">
      <c r="B3094" s="34"/>
    </row>
    <row r="3095">
      <c r="B3095" s="34"/>
    </row>
    <row r="3096">
      <c r="B3096" s="34"/>
    </row>
    <row r="3097">
      <c r="B3097" s="34"/>
    </row>
    <row r="3098">
      <c r="B3098" s="34"/>
    </row>
    <row r="3099">
      <c r="B3099" s="34"/>
    </row>
    <row r="3100">
      <c r="B3100" s="34"/>
    </row>
    <row r="3101">
      <c r="B3101" s="34"/>
    </row>
    <row r="3102">
      <c r="B3102" s="34"/>
    </row>
    <row r="3103">
      <c r="B3103" s="34"/>
    </row>
    <row r="3104">
      <c r="B3104" s="34"/>
    </row>
    <row r="3105">
      <c r="B3105" s="34"/>
    </row>
    <row r="3106">
      <c r="B3106" s="34"/>
    </row>
    <row r="3107">
      <c r="B3107" s="34"/>
    </row>
    <row r="3108">
      <c r="B3108" s="34"/>
    </row>
    <row r="3109">
      <c r="B3109" s="34"/>
    </row>
    <row r="3110">
      <c r="B3110" s="34"/>
    </row>
    <row r="3111">
      <c r="B3111" s="34"/>
    </row>
    <row r="3112">
      <c r="B3112" s="34"/>
    </row>
    <row r="3113">
      <c r="B3113" s="34"/>
    </row>
    <row r="3114">
      <c r="B3114" s="34"/>
    </row>
    <row r="3115">
      <c r="B3115" s="34"/>
    </row>
    <row r="3116">
      <c r="B3116" s="34"/>
    </row>
    <row r="3117">
      <c r="B3117" s="34"/>
    </row>
    <row r="3118">
      <c r="B3118" s="34"/>
    </row>
    <row r="3119">
      <c r="B3119" s="34"/>
    </row>
    <row r="3120">
      <c r="B3120" s="34"/>
    </row>
    <row r="3121">
      <c r="B3121" s="34"/>
    </row>
    <row r="3122">
      <c r="B3122" s="34"/>
    </row>
    <row r="3123">
      <c r="B3123" s="34"/>
    </row>
    <row r="3124">
      <c r="B3124" s="34"/>
    </row>
    <row r="3125">
      <c r="B3125" s="34"/>
    </row>
    <row r="3126">
      <c r="B3126" s="34"/>
    </row>
    <row r="3127">
      <c r="B3127" s="34"/>
    </row>
    <row r="3128">
      <c r="B3128" s="34"/>
    </row>
    <row r="3129">
      <c r="B3129" s="34"/>
    </row>
    <row r="3130">
      <c r="B3130" s="34"/>
    </row>
    <row r="3131">
      <c r="B3131" s="34"/>
    </row>
    <row r="3132">
      <c r="B3132" s="34"/>
    </row>
    <row r="3133">
      <c r="B3133" s="34"/>
    </row>
    <row r="3134">
      <c r="B3134" s="34"/>
    </row>
    <row r="3135">
      <c r="B3135" s="34"/>
    </row>
    <row r="3136">
      <c r="B3136" s="34"/>
    </row>
    <row r="3137">
      <c r="B3137" s="34"/>
    </row>
    <row r="3138">
      <c r="B3138" s="34"/>
    </row>
    <row r="3139">
      <c r="B3139" s="34"/>
    </row>
    <row r="3140">
      <c r="B3140" s="34"/>
    </row>
    <row r="3141">
      <c r="B3141" s="34"/>
    </row>
    <row r="3142">
      <c r="B3142" s="34"/>
    </row>
    <row r="3143">
      <c r="B3143" s="34"/>
    </row>
    <row r="3144">
      <c r="B3144" s="34"/>
    </row>
    <row r="3145">
      <c r="B3145" s="34"/>
    </row>
    <row r="3146">
      <c r="B3146" s="34"/>
    </row>
    <row r="3147">
      <c r="B3147" s="34"/>
    </row>
    <row r="3148">
      <c r="B3148" s="34"/>
    </row>
    <row r="3149">
      <c r="B3149" s="34"/>
    </row>
    <row r="3150">
      <c r="B3150" s="34"/>
    </row>
    <row r="3151">
      <c r="B3151" s="34"/>
    </row>
    <row r="3152">
      <c r="B3152" s="34"/>
    </row>
    <row r="3153">
      <c r="B3153" s="34"/>
    </row>
    <row r="3154">
      <c r="B3154" s="34"/>
    </row>
    <row r="3155">
      <c r="B3155" s="34"/>
    </row>
    <row r="3156">
      <c r="B3156" s="34"/>
    </row>
    <row r="3157">
      <c r="B3157" s="34"/>
    </row>
    <row r="3158">
      <c r="B3158" s="34"/>
    </row>
    <row r="3159">
      <c r="B3159" s="34"/>
    </row>
    <row r="3160">
      <c r="B3160" s="34"/>
    </row>
    <row r="3161">
      <c r="B3161" s="34"/>
    </row>
    <row r="3162">
      <c r="B3162" s="34"/>
    </row>
    <row r="3163">
      <c r="B3163" s="34"/>
    </row>
    <row r="3164">
      <c r="B3164" s="34"/>
    </row>
    <row r="3165">
      <c r="B3165" s="34"/>
    </row>
    <row r="3166">
      <c r="B3166" s="34"/>
    </row>
    <row r="3167">
      <c r="B3167" s="34"/>
    </row>
    <row r="3168">
      <c r="B3168" s="34"/>
    </row>
    <row r="3169">
      <c r="B3169" s="34"/>
    </row>
    <row r="3170">
      <c r="B3170" s="34"/>
    </row>
    <row r="3171">
      <c r="B3171" s="34"/>
    </row>
    <row r="3172">
      <c r="B3172" s="34"/>
    </row>
    <row r="3173">
      <c r="B3173" s="34"/>
    </row>
    <row r="3174">
      <c r="B3174" s="34"/>
    </row>
    <row r="3175">
      <c r="B3175" s="34"/>
    </row>
    <row r="3176">
      <c r="B3176" s="34"/>
    </row>
    <row r="3177">
      <c r="B3177" s="34"/>
    </row>
    <row r="3178">
      <c r="B3178" s="34"/>
    </row>
    <row r="3179">
      <c r="B3179" s="34"/>
    </row>
    <row r="3180">
      <c r="B3180" s="34"/>
    </row>
    <row r="3181">
      <c r="B3181" s="34"/>
    </row>
    <row r="3182">
      <c r="B3182" s="34"/>
    </row>
    <row r="3183">
      <c r="B3183" s="34"/>
    </row>
    <row r="3184">
      <c r="B3184" s="34"/>
    </row>
    <row r="3185">
      <c r="B3185" s="34"/>
    </row>
    <row r="3186">
      <c r="B3186" s="34"/>
    </row>
    <row r="3187">
      <c r="B3187" s="34"/>
    </row>
    <row r="3188">
      <c r="B3188" s="34"/>
    </row>
    <row r="3189">
      <c r="B3189" s="34"/>
    </row>
    <row r="3190">
      <c r="B3190" s="34"/>
    </row>
    <row r="3191">
      <c r="B3191" s="34"/>
    </row>
    <row r="3192">
      <c r="B3192" s="34"/>
    </row>
    <row r="3193">
      <c r="B3193" s="34"/>
    </row>
    <row r="3194">
      <c r="B3194" s="34"/>
    </row>
    <row r="3195">
      <c r="B3195" s="34"/>
    </row>
    <row r="3196">
      <c r="B3196" s="34"/>
    </row>
    <row r="3197">
      <c r="B3197" s="34"/>
    </row>
    <row r="3198">
      <c r="B3198" s="34"/>
    </row>
    <row r="3199">
      <c r="B3199" s="34"/>
    </row>
    <row r="3200">
      <c r="B3200" s="34"/>
    </row>
    <row r="3201">
      <c r="B3201" s="34"/>
    </row>
    <row r="3202">
      <c r="B3202" s="34"/>
    </row>
    <row r="3203">
      <c r="B3203" s="34"/>
    </row>
    <row r="3204">
      <c r="B3204" s="34"/>
    </row>
    <row r="3205">
      <c r="B3205" s="34"/>
    </row>
    <row r="3206">
      <c r="B3206" s="34"/>
    </row>
    <row r="3207">
      <c r="B3207" s="34"/>
    </row>
    <row r="3208">
      <c r="B3208" s="34"/>
    </row>
    <row r="3209">
      <c r="B3209" s="34"/>
    </row>
    <row r="3210">
      <c r="B3210" s="34"/>
    </row>
    <row r="3211">
      <c r="B3211" s="34"/>
    </row>
    <row r="3212">
      <c r="B3212" s="34"/>
    </row>
    <row r="3213">
      <c r="B3213" s="34"/>
    </row>
    <row r="3214">
      <c r="B3214" s="34"/>
    </row>
    <row r="3215">
      <c r="B3215" s="34"/>
    </row>
    <row r="3216">
      <c r="B3216" s="34"/>
    </row>
    <row r="3217">
      <c r="B3217" s="34"/>
    </row>
    <row r="3218">
      <c r="B3218" s="34"/>
    </row>
    <row r="3219">
      <c r="B3219" s="34"/>
    </row>
    <row r="3220">
      <c r="B3220" s="34"/>
    </row>
    <row r="3221">
      <c r="B3221" s="34"/>
    </row>
    <row r="3222">
      <c r="B3222" s="34"/>
    </row>
    <row r="3223">
      <c r="B3223" s="34"/>
    </row>
    <row r="3224">
      <c r="B3224" s="34"/>
    </row>
    <row r="3225">
      <c r="B3225" s="34"/>
    </row>
    <row r="3226">
      <c r="B3226" s="34"/>
    </row>
    <row r="3227">
      <c r="B3227" s="34"/>
    </row>
    <row r="3228">
      <c r="B3228" s="34"/>
    </row>
    <row r="3229">
      <c r="B3229" s="34"/>
    </row>
    <row r="3230">
      <c r="B3230" s="34"/>
    </row>
    <row r="3231">
      <c r="B3231" s="34"/>
    </row>
    <row r="3232">
      <c r="B3232" s="34"/>
    </row>
    <row r="3233">
      <c r="B3233" s="34"/>
    </row>
    <row r="3234">
      <c r="B3234" s="34"/>
    </row>
    <row r="3235">
      <c r="B3235" s="34"/>
    </row>
    <row r="3236">
      <c r="B3236" s="34"/>
    </row>
    <row r="3237">
      <c r="B3237" s="34"/>
    </row>
    <row r="3238">
      <c r="B3238" s="34"/>
    </row>
    <row r="3239">
      <c r="B3239" s="34"/>
    </row>
    <row r="3240">
      <c r="B3240" s="34"/>
    </row>
    <row r="3241">
      <c r="B3241" s="34"/>
    </row>
    <row r="3242">
      <c r="B3242" s="34"/>
    </row>
    <row r="3243">
      <c r="B3243" s="34"/>
    </row>
    <row r="3244">
      <c r="B3244" s="34"/>
    </row>
    <row r="3245">
      <c r="B3245" s="34"/>
    </row>
    <row r="3246">
      <c r="B3246" s="34"/>
    </row>
    <row r="3247">
      <c r="B3247" s="34"/>
    </row>
    <row r="3248">
      <c r="B3248" s="34"/>
    </row>
    <row r="3249">
      <c r="B3249" s="34"/>
    </row>
    <row r="3250">
      <c r="B3250" s="34"/>
    </row>
    <row r="3251">
      <c r="B3251" s="34"/>
    </row>
    <row r="3252">
      <c r="B3252" s="34"/>
    </row>
    <row r="3253">
      <c r="B3253" s="34"/>
    </row>
    <row r="3254">
      <c r="B3254" s="34"/>
    </row>
    <row r="3255">
      <c r="B3255" s="34"/>
    </row>
    <row r="3256">
      <c r="B3256" s="34"/>
    </row>
    <row r="3257">
      <c r="B3257" s="34"/>
    </row>
    <row r="3258">
      <c r="B3258" s="34"/>
    </row>
    <row r="3259">
      <c r="B3259" s="34"/>
    </row>
    <row r="3260">
      <c r="B3260" s="34"/>
    </row>
    <row r="3261">
      <c r="B3261" s="34"/>
    </row>
    <row r="3262">
      <c r="B3262" s="34"/>
    </row>
    <row r="3263">
      <c r="B3263" s="34"/>
    </row>
    <row r="3264">
      <c r="B3264" s="34"/>
    </row>
    <row r="3265">
      <c r="B3265" s="34"/>
    </row>
    <row r="3266">
      <c r="B3266" s="34"/>
    </row>
    <row r="3267">
      <c r="B3267" s="34"/>
    </row>
    <row r="3268">
      <c r="B3268" s="34"/>
    </row>
    <row r="3269">
      <c r="B3269" s="34"/>
    </row>
    <row r="3270">
      <c r="B3270" s="34"/>
    </row>
    <row r="3271">
      <c r="B3271" s="34"/>
    </row>
    <row r="3272">
      <c r="B3272" s="34"/>
    </row>
    <row r="3273">
      <c r="B3273" s="34"/>
    </row>
    <row r="3274">
      <c r="B3274" s="34"/>
    </row>
    <row r="3275">
      <c r="B3275" s="34"/>
    </row>
    <row r="3276">
      <c r="B3276" s="34"/>
    </row>
    <row r="3277">
      <c r="B3277" s="34"/>
    </row>
    <row r="3278">
      <c r="B3278" s="34"/>
    </row>
    <row r="3279">
      <c r="B3279" s="34"/>
    </row>
    <row r="3280">
      <c r="B3280" s="34"/>
    </row>
    <row r="3281">
      <c r="B3281" s="34"/>
    </row>
    <row r="3282">
      <c r="B3282" s="34"/>
    </row>
    <row r="3283">
      <c r="B3283" s="34"/>
    </row>
    <row r="3284">
      <c r="B3284" s="34"/>
    </row>
    <row r="3285">
      <c r="B3285" s="34"/>
    </row>
    <row r="3286">
      <c r="B3286" s="34"/>
    </row>
    <row r="3287">
      <c r="B3287" s="34"/>
    </row>
    <row r="3288">
      <c r="B3288" s="34"/>
    </row>
    <row r="3289">
      <c r="B3289" s="34"/>
    </row>
    <row r="3290">
      <c r="B3290" s="34"/>
    </row>
    <row r="3291">
      <c r="B3291" s="34"/>
    </row>
    <row r="3292">
      <c r="B3292" s="34"/>
    </row>
    <row r="3293">
      <c r="B3293" s="34"/>
    </row>
    <row r="3294">
      <c r="B3294" s="34"/>
    </row>
    <row r="3295">
      <c r="B3295" s="34"/>
    </row>
    <row r="3296">
      <c r="B3296" s="34"/>
    </row>
    <row r="3297">
      <c r="B3297" s="34"/>
    </row>
    <row r="3298">
      <c r="B3298" s="34"/>
    </row>
    <row r="3299">
      <c r="B3299" s="34"/>
    </row>
    <row r="3300">
      <c r="B3300" s="34"/>
    </row>
    <row r="3301">
      <c r="B3301" s="34"/>
    </row>
    <row r="3302">
      <c r="B3302" s="34"/>
    </row>
    <row r="3303">
      <c r="B3303" s="34"/>
    </row>
    <row r="3304">
      <c r="B3304" s="34"/>
    </row>
    <row r="3305">
      <c r="B3305" s="34"/>
    </row>
    <row r="3306">
      <c r="B3306" s="34"/>
    </row>
    <row r="3307">
      <c r="B3307" s="34"/>
    </row>
    <row r="3308">
      <c r="B3308" s="34"/>
    </row>
    <row r="3309">
      <c r="B3309" s="34"/>
    </row>
    <row r="3310">
      <c r="B3310" s="34"/>
    </row>
    <row r="3311">
      <c r="B3311" s="34"/>
    </row>
    <row r="3312">
      <c r="B3312" s="34"/>
    </row>
    <row r="3313">
      <c r="B3313" s="34"/>
    </row>
    <row r="3314">
      <c r="B3314" s="34"/>
    </row>
    <row r="3315">
      <c r="B3315" s="34"/>
    </row>
    <row r="3316">
      <c r="B3316" s="34"/>
    </row>
    <row r="3317">
      <c r="B3317" s="34"/>
    </row>
    <row r="3318">
      <c r="B3318" s="34"/>
    </row>
    <row r="3319">
      <c r="B3319" s="34"/>
    </row>
    <row r="3320">
      <c r="B3320" s="34"/>
    </row>
    <row r="3321">
      <c r="B3321" s="34"/>
    </row>
    <row r="3322">
      <c r="B3322" s="34"/>
    </row>
    <row r="3323">
      <c r="B3323" s="34"/>
    </row>
    <row r="3324">
      <c r="B3324" s="34"/>
    </row>
    <row r="3325">
      <c r="B3325" s="34"/>
    </row>
    <row r="3326">
      <c r="B3326" s="34"/>
    </row>
    <row r="3327">
      <c r="B3327" s="34"/>
    </row>
    <row r="3328">
      <c r="B3328" s="34"/>
    </row>
    <row r="3329">
      <c r="B3329" s="34"/>
    </row>
    <row r="3330">
      <c r="B3330" s="34"/>
    </row>
    <row r="3331">
      <c r="B3331" s="34"/>
    </row>
    <row r="3332">
      <c r="B3332" s="34"/>
    </row>
    <row r="3333">
      <c r="B3333" s="34"/>
    </row>
    <row r="3334">
      <c r="B3334" s="34"/>
    </row>
    <row r="3335">
      <c r="B3335" s="34"/>
    </row>
    <row r="3336">
      <c r="B3336" s="34"/>
    </row>
    <row r="3337">
      <c r="B3337" s="34"/>
    </row>
    <row r="3338">
      <c r="B3338" s="34"/>
    </row>
    <row r="3339">
      <c r="B3339" s="34"/>
    </row>
    <row r="3340">
      <c r="B3340" s="34"/>
    </row>
    <row r="3341">
      <c r="B3341" s="34"/>
    </row>
    <row r="3342">
      <c r="B3342" s="34"/>
    </row>
    <row r="3343">
      <c r="B3343" s="34"/>
    </row>
    <row r="3344">
      <c r="B3344" s="34"/>
    </row>
    <row r="3345">
      <c r="B3345" s="34"/>
    </row>
    <row r="3346">
      <c r="B3346" s="34"/>
    </row>
    <row r="3347">
      <c r="B3347" s="34"/>
    </row>
    <row r="3348">
      <c r="B3348" s="34"/>
    </row>
    <row r="3349">
      <c r="B3349" s="34"/>
    </row>
    <row r="3350">
      <c r="B3350" s="34"/>
    </row>
    <row r="3351">
      <c r="B3351" s="34"/>
    </row>
    <row r="3352">
      <c r="B3352" s="34"/>
    </row>
    <row r="3353">
      <c r="B3353" s="34"/>
    </row>
    <row r="3354">
      <c r="B3354" s="34"/>
    </row>
    <row r="3355">
      <c r="B3355" s="34"/>
    </row>
    <row r="3356">
      <c r="B3356" s="34"/>
    </row>
    <row r="3357">
      <c r="B3357" s="34"/>
    </row>
    <row r="3358">
      <c r="B3358" s="34"/>
    </row>
    <row r="3359">
      <c r="B3359" s="34"/>
    </row>
    <row r="3360">
      <c r="B3360" s="34"/>
    </row>
    <row r="3361">
      <c r="B3361" s="34"/>
    </row>
    <row r="3362">
      <c r="B3362" s="34"/>
    </row>
    <row r="3363">
      <c r="B3363" s="34"/>
    </row>
    <row r="3364">
      <c r="B3364" s="34"/>
    </row>
    <row r="3365">
      <c r="B3365" s="34"/>
    </row>
    <row r="3366">
      <c r="B3366" s="34"/>
    </row>
    <row r="3367">
      <c r="B3367" s="34"/>
    </row>
    <row r="3368">
      <c r="B3368" s="34"/>
    </row>
    <row r="3369">
      <c r="B3369" s="34"/>
    </row>
    <row r="3370">
      <c r="B3370" s="34"/>
    </row>
    <row r="3371">
      <c r="B3371" s="34"/>
    </row>
    <row r="3372">
      <c r="B3372" s="34"/>
    </row>
    <row r="3373">
      <c r="B3373" s="34"/>
    </row>
    <row r="3374">
      <c r="B3374" s="34"/>
    </row>
    <row r="3375">
      <c r="B3375" s="34"/>
    </row>
    <row r="3376">
      <c r="B3376" s="34"/>
    </row>
    <row r="3377">
      <c r="B3377" s="34"/>
    </row>
    <row r="3378">
      <c r="B3378" s="34"/>
    </row>
    <row r="3379">
      <c r="B3379" s="34"/>
    </row>
    <row r="3380">
      <c r="B3380" s="34"/>
    </row>
    <row r="3381">
      <c r="B3381" s="34"/>
    </row>
    <row r="3382">
      <c r="B3382" s="34"/>
    </row>
    <row r="3383">
      <c r="B3383" s="34"/>
    </row>
    <row r="3384">
      <c r="B3384" s="34"/>
    </row>
    <row r="3385">
      <c r="B3385" s="34"/>
    </row>
    <row r="3386">
      <c r="B3386" s="34"/>
    </row>
    <row r="3387">
      <c r="B3387" s="34"/>
    </row>
    <row r="3388">
      <c r="B3388" s="34"/>
    </row>
    <row r="3389">
      <c r="B3389" s="34"/>
    </row>
    <row r="3390">
      <c r="B3390" s="34"/>
    </row>
    <row r="3391">
      <c r="B3391" s="34"/>
    </row>
    <row r="3392">
      <c r="B3392" s="34"/>
    </row>
    <row r="3393">
      <c r="B3393" s="34"/>
    </row>
    <row r="3394">
      <c r="B3394" s="34"/>
    </row>
    <row r="3395">
      <c r="B3395" s="34"/>
    </row>
    <row r="3396">
      <c r="B3396" s="34"/>
    </row>
    <row r="3397">
      <c r="B3397" s="34"/>
    </row>
    <row r="3398">
      <c r="B3398" s="34"/>
    </row>
    <row r="3399">
      <c r="B3399" s="34"/>
    </row>
    <row r="3400">
      <c r="B3400" s="34"/>
    </row>
    <row r="3401">
      <c r="B3401" s="34"/>
    </row>
    <row r="3402">
      <c r="B3402" s="34"/>
    </row>
    <row r="3403">
      <c r="B3403" s="34"/>
    </row>
    <row r="3404">
      <c r="B3404" s="34"/>
    </row>
    <row r="3405">
      <c r="B3405" s="34"/>
    </row>
    <row r="3406">
      <c r="B3406" s="34"/>
    </row>
    <row r="3407">
      <c r="B3407" s="34"/>
    </row>
    <row r="3408">
      <c r="B3408" s="34"/>
    </row>
    <row r="3409">
      <c r="B3409" s="34"/>
    </row>
    <row r="3410">
      <c r="B3410" s="34"/>
    </row>
    <row r="3411">
      <c r="B3411" s="34"/>
    </row>
    <row r="3412">
      <c r="B3412" s="34"/>
    </row>
    <row r="3413">
      <c r="B3413" s="34"/>
    </row>
    <row r="3414">
      <c r="B3414" s="34"/>
    </row>
    <row r="3415">
      <c r="B3415" s="34"/>
    </row>
    <row r="3416">
      <c r="B3416" s="34"/>
    </row>
    <row r="3417">
      <c r="B3417" s="34"/>
    </row>
    <row r="3418">
      <c r="B3418" s="34"/>
    </row>
    <row r="3419">
      <c r="B3419" s="34"/>
    </row>
    <row r="3420">
      <c r="B3420" s="34"/>
    </row>
    <row r="3421">
      <c r="B3421" s="34"/>
    </row>
    <row r="3422">
      <c r="B3422" s="34"/>
    </row>
    <row r="3423">
      <c r="B3423" s="34"/>
    </row>
    <row r="3424">
      <c r="B3424" s="34"/>
    </row>
    <row r="3425">
      <c r="B3425" s="34"/>
    </row>
    <row r="3426">
      <c r="B3426" s="34"/>
    </row>
    <row r="3427">
      <c r="B3427" s="34"/>
    </row>
    <row r="3428">
      <c r="B3428" s="34"/>
    </row>
    <row r="3429">
      <c r="B3429" s="34"/>
    </row>
    <row r="3430">
      <c r="B3430" s="34"/>
    </row>
    <row r="3431">
      <c r="B3431" s="34"/>
    </row>
    <row r="3432">
      <c r="B3432" s="34"/>
    </row>
    <row r="3433">
      <c r="B3433" s="34"/>
    </row>
    <row r="3434">
      <c r="B3434" s="34"/>
    </row>
    <row r="3435">
      <c r="B3435" s="34"/>
    </row>
    <row r="3436">
      <c r="B3436" s="34"/>
    </row>
    <row r="3437">
      <c r="B3437" s="34"/>
    </row>
    <row r="3438">
      <c r="B3438" s="34"/>
    </row>
    <row r="3439">
      <c r="B3439" s="34"/>
    </row>
    <row r="3440">
      <c r="B3440" s="34"/>
    </row>
    <row r="3441">
      <c r="B3441" s="34"/>
    </row>
    <row r="3442">
      <c r="B3442" s="34"/>
    </row>
    <row r="3443">
      <c r="B3443" s="34"/>
    </row>
    <row r="3444">
      <c r="B3444" s="34"/>
    </row>
    <row r="3445">
      <c r="B3445" s="34"/>
    </row>
    <row r="3446">
      <c r="B3446" s="34"/>
    </row>
    <row r="3447">
      <c r="B3447" s="34"/>
    </row>
    <row r="3448">
      <c r="B3448" s="34"/>
    </row>
    <row r="3449">
      <c r="B3449" s="34"/>
    </row>
    <row r="3450">
      <c r="B3450" s="34"/>
    </row>
    <row r="3451">
      <c r="B3451" s="34"/>
    </row>
    <row r="3452">
      <c r="B3452" s="34"/>
    </row>
    <row r="3453">
      <c r="B3453" s="34"/>
    </row>
    <row r="3454">
      <c r="B3454" s="34"/>
    </row>
    <row r="3455">
      <c r="B3455" s="34"/>
    </row>
    <row r="3456">
      <c r="B3456" s="34"/>
    </row>
    <row r="3457">
      <c r="B3457" s="34"/>
    </row>
    <row r="3458">
      <c r="B3458" s="34"/>
    </row>
    <row r="3459">
      <c r="B3459" s="34"/>
    </row>
    <row r="3460">
      <c r="B3460" s="34"/>
    </row>
    <row r="3461">
      <c r="B3461" s="34"/>
    </row>
    <row r="3462">
      <c r="B3462" s="34"/>
    </row>
    <row r="3463">
      <c r="B3463" s="34"/>
    </row>
    <row r="3464">
      <c r="B3464" s="34"/>
    </row>
    <row r="3465">
      <c r="B3465" s="34"/>
    </row>
    <row r="3466">
      <c r="B3466" s="34"/>
    </row>
    <row r="3467">
      <c r="B3467" s="34"/>
    </row>
    <row r="3468">
      <c r="B3468" s="34"/>
    </row>
    <row r="3469">
      <c r="B3469" s="34"/>
    </row>
    <row r="3470">
      <c r="B3470" s="34"/>
    </row>
    <row r="3471">
      <c r="B3471" s="34"/>
    </row>
    <row r="3472">
      <c r="B3472" s="34"/>
    </row>
    <row r="3473">
      <c r="B3473" s="34"/>
    </row>
    <row r="3474">
      <c r="B3474" s="34"/>
    </row>
    <row r="3475">
      <c r="B3475" s="34"/>
    </row>
    <row r="3476">
      <c r="B3476" s="34"/>
    </row>
    <row r="3477">
      <c r="B3477" s="34"/>
    </row>
    <row r="3478">
      <c r="B3478" s="34"/>
    </row>
    <row r="3479">
      <c r="B3479" s="34"/>
    </row>
    <row r="3480">
      <c r="B3480" s="34"/>
    </row>
    <row r="3481">
      <c r="B3481" s="34"/>
    </row>
    <row r="3482">
      <c r="B3482" s="34"/>
    </row>
    <row r="3483">
      <c r="B3483" s="34"/>
    </row>
    <row r="3484">
      <c r="B3484" s="34"/>
    </row>
    <row r="3485">
      <c r="B3485" s="34"/>
    </row>
    <row r="3486">
      <c r="B3486" s="34"/>
    </row>
    <row r="3487">
      <c r="B3487" s="34"/>
    </row>
    <row r="3488">
      <c r="B3488" s="34"/>
    </row>
    <row r="3489">
      <c r="B3489" s="34"/>
    </row>
    <row r="3490">
      <c r="B3490" s="34"/>
    </row>
    <row r="3491">
      <c r="B3491" s="34"/>
    </row>
    <row r="3492">
      <c r="B3492" s="34"/>
    </row>
    <row r="3493">
      <c r="B3493" s="34"/>
    </row>
    <row r="3494">
      <c r="B3494" s="34"/>
    </row>
    <row r="3495">
      <c r="B3495" s="34"/>
    </row>
    <row r="3496">
      <c r="B3496" s="34"/>
    </row>
    <row r="3497">
      <c r="B3497" s="34"/>
    </row>
    <row r="3498">
      <c r="B3498" s="34"/>
    </row>
    <row r="3499">
      <c r="B3499" s="34"/>
    </row>
    <row r="3500">
      <c r="B3500" s="34"/>
    </row>
    <row r="3501">
      <c r="B3501" s="34"/>
    </row>
    <row r="3502">
      <c r="B3502" s="34"/>
    </row>
    <row r="3503">
      <c r="B3503" s="34"/>
    </row>
    <row r="3504">
      <c r="B3504" s="34"/>
    </row>
    <row r="3505">
      <c r="B3505" s="34"/>
    </row>
    <row r="3506">
      <c r="B3506" s="34"/>
    </row>
    <row r="3507">
      <c r="B3507" s="34"/>
    </row>
    <row r="3508">
      <c r="B3508" s="34"/>
    </row>
    <row r="3509">
      <c r="B3509" s="34"/>
    </row>
    <row r="3510">
      <c r="B3510" s="34"/>
    </row>
    <row r="3511">
      <c r="B3511" s="34"/>
    </row>
    <row r="3512">
      <c r="B3512" s="34"/>
    </row>
    <row r="3513">
      <c r="B3513" s="34"/>
    </row>
    <row r="3514">
      <c r="B3514" s="34"/>
    </row>
    <row r="3515">
      <c r="B3515" s="34"/>
    </row>
    <row r="3516">
      <c r="B3516" s="34"/>
    </row>
    <row r="3517">
      <c r="B3517" s="34"/>
    </row>
    <row r="3518">
      <c r="B3518" s="34"/>
    </row>
    <row r="3519">
      <c r="B3519" s="34"/>
    </row>
    <row r="3520">
      <c r="B3520" s="34"/>
    </row>
    <row r="3521">
      <c r="B3521" s="34"/>
    </row>
    <row r="3522">
      <c r="B3522" s="34"/>
    </row>
    <row r="3523">
      <c r="B3523" s="34"/>
    </row>
    <row r="3524">
      <c r="B3524" s="34"/>
    </row>
    <row r="3525">
      <c r="B3525" s="34"/>
    </row>
    <row r="3526">
      <c r="B3526" s="34"/>
    </row>
    <row r="3527">
      <c r="B3527" s="34"/>
    </row>
    <row r="3528">
      <c r="B3528" s="34"/>
    </row>
    <row r="3529">
      <c r="B3529" s="34"/>
    </row>
    <row r="3530">
      <c r="B3530" s="34"/>
    </row>
    <row r="3531">
      <c r="B3531" s="34"/>
    </row>
    <row r="3532">
      <c r="B3532" s="34"/>
    </row>
    <row r="3533">
      <c r="B3533" s="34"/>
    </row>
    <row r="3534">
      <c r="B3534" s="34"/>
    </row>
    <row r="3535">
      <c r="B3535" s="34"/>
    </row>
    <row r="3536">
      <c r="B3536" s="34"/>
    </row>
    <row r="3537">
      <c r="B3537" s="34"/>
    </row>
    <row r="3538">
      <c r="B3538" s="34"/>
    </row>
    <row r="3539">
      <c r="B3539" s="34"/>
    </row>
    <row r="3540">
      <c r="B3540" s="34"/>
    </row>
    <row r="3541">
      <c r="B3541" s="34"/>
    </row>
    <row r="3542">
      <c r="B3542" s="34"/>
    </row>
    <row r="3543">
      <c r="B3543" s="34"/>
    </row>
    <row r="3544">
      <c r="B3544" s="34"/>
    </row>
    <row r="3545">
      <c r="B3545" s="34"/>
    </row>
    <row r="3546">
      <c r="B3546" s="34"/>
    </row>
    <row r="3547">
      <c r="B3547" s="34"/>
    </row>
    <row r="3548">
      <c r="B3548" s="34"/>
    </row>
    <row r="3549">
      <c r="B3549" s="34"/>
    </row>
    <row r="3550">
      <c r="B3550" s="34"/>
    </row>
    <row r="3551">
      <c r="B3551" s="34"/>
    </row>
    <row r="3552">
      <c r="B3552" s="34"/>
    </row>
    <row r="3553">
      <c r="B3553" s="34"/>
    </row>
    <row r="3554">
      <c r="B3554" s="34"/>
    </row>
    <row r="3555">
      <c r="B3555" s="34"/>
    </row>
    <row r="3556">
      <c r="B3556" s="34"/>
    </row>
    <row r="3557">
      <c r="B3557" s="34"/>
    </row>
    <row r="3558">
      <c r="B3558" s="34"/>
    </row>
    <row r="3559">
      <c r="B3559" s="34"/>
    </row>
    <row r="3560">
      <c r="B3560" s="34"/>
    </row>
    <row r="3561">
      <c r="B3561" s="34"/>
    </row>
    <row r="3562">
      <c r="B3562" s="34"/>
    </row>
    <row r="3563">
      <c r="B3563" s="34"/>
    </row>
    <row r="3564">
      <c r="B3564" s="34"/>
    </row>
    <row r="3565">
      <c r="B3565" s="34"/>
    </row>
    <row r="3566">
      <c r="B3566" s="34"/>
    </row>
    <row r="3567">
      <c r="B3567" s="34"/>
    </row>
    <row r="3568">
      <c r="B3568" s="34"/>
    </row>
    <row r="3569">
      <c r="B3569" s="34"/>
    </row>
    <row r="3570">
      <c r="B3570" s="34"/>
    </row>
    <row r="3571">
      <c r="B3571" s="34"/>
    </row>
    <row r="3572">
      <c r="B3572" s="34"/>
    </row>
    <row r="3573">
      <c r="B3573" s="34"/>
    </row>
    <row r="3574">
      <c r="B3574" s="34"/>
    </row>
    <row r="3575">
      <c r="B3575" s="34"/>
    </row>
    <row r="3576">
      <c r="B3576" s="34"/>
    </row>
    <row r="3577">
      <c r="B3577" s="34"/>
    </row>
    <row r="3578">
      <c r="B3578" s="34"/>
    </row>
    <row r="3579">
      <c r="B3579" s="34"/>
    </row>
    <row r="3580">
      <c r="B3580" s="34"/>
    </row>
    <row r="3581">
      <c r="B3581" s="34"/>
    </row>
    <row r="3582">
      <c r="B3582" s="34"/>
    </row>
    <row r="3583">
      <c r="B3583" s="34"/>
    </row>
    <row r="3584">
      <c r="B3584" s="34"/>
    </row>
    <row r="3585">
      <c r="B3585" s="34"/>
    </row>
    <row r="3586">
      <c r="B3586" s="34"/>
    </row>
    <row r="3587">
      <c r="B3587" s="34"/>
    </row>
    <row r="3588">
      <c r="B3588" s="34"/>
    </row>
    <row r="3589">
      <c r="B3589" s="34"/>
    </row>
    <row r="3590">
      <c r="B3590" s="34"/>
    </row>
    <row r="3591">
      <c r="B3591" s="34"/>
    </row>
    <row r="3592">
      <c r="B3592" s="34"/>
    </row>
    <row r="3593">
      <c r="B3593" s="34"/>
    </row>
    <row r="3594">
      <c r="B3594" s="34"/>
    </row>
    <row r="3595">
      <c r="B3595" s="34"/>
    </row>
    <row r="3596">
      <c r="B3596" s="34"/>
    </row>
    <row r="3597">
      <c r="B3597" s="34"/>
    </row>
    <row r="3598">
      <c r="B3598" s="34"/>
    </row>
    <row r="3599">
      <c r="B3599" s="34"/>
    </row>
    <row r="3600">
      <c r="B3600" s="34"/>
    </row>
    <row r="3601">
      <c r="B3601" s="34"/>
    </row>
    <row r="3602">
      <c r="B3602" s="34"/>
    </row>
    <row r="3603">
      <c r="B3603" s="34"/>
    </row>
    <row r="3604">
      <c r="B3604" s="34"/>
    </row>
    <row r="3605">
      <c r="B3605" s="34"/>
    </row>
    <row r="3606">
      <c r="B3606" s="34"/>
    </row>
    <row r="3607">
      <c r="B3607" s="34"/>
    </row>
    <row r="3608">
      <c r="B3608" s="34"/>
    </row>
    <row r="3609">
      <c r="B3609" s="34"/>
    </row>
    <row r="3610">
      <c r="B3610" s="34"/>
    </row>
    <row r="3611">
      <c r="B3611" s="34"/>
    </row>
    <row r="3612">
      <c r="B3612" s="34"/>
    </row>
    <row r="3613">
      <c r="B3613" s="34"/>
    </row>
    <row r="3614">
      <c r="B3614" s="34"/>
    </row>
    <row r="3615">
      <c r="B3615" s="34"/>
    </row>
    <row r="3616">
      <c r="B3616" s="34"/>
    </row>
    <row r="3617">
      <c r="B3617" s="34"/>
    </row>
    <row r="3618">
      <c r="B3618" s="34"/>
    </row>
    <row r="3619">
      <c r="B3619" s="34"/>
    </row>
    <row r="3620">
      <c r="B3620" s="34"/>
    </row>
    <row r="3621">
      <c r="B3621" s="34"/>
    </row>
    <row r="3622">
      <c r="B3622" s="34"/>
    </row>
    <row r="3623">
      <c r="B3623" s="34"/>
    </row>
    <row r="3624">
      <c r="B3624" s="34"/>
    </row>
    <row r="3625">
      <c r="B3625" s="34"/>
    </row>
    <row r="3626">
      <c r="B3626" s="34"/>
    </row>
    <row r="3627">
      <c r="B3627" s="34"/>
    </row>
    <row r="3628">
      <c r="B3628" s="34"/>
    </row>
    <row r="3629">
      <c r="B3629" s="34"/>
    </row>
    <row r="3630">
      <c r="B3630" s="34"/>
    </row>
    <row r="3631">
      <c r="B3631" s="34"/>
    </row>
    <row r="3632">
      <c r="B3632" s="34"/>
    </row>
    <row r="3633">
      <c r="B3633" s="34"/>
    </row>
    <row r="3634">
      <c r="B3634" s="34"/>
    </row>
    <row r="3635">
      <c r="B3635" s="34"/>
    </row>
    <row r="3636">
      <c r="B3636" s="34"/>
    </row>
    <row r="3637">
      <c r="B3637" s="34"/>
    </row>
    <row r="3638">
      <c r="B3638" s="34"/>
    </row>
    <row r="3639">
      <c r="B3639" s="34"/>
    </row>
    <row r="3640">
      <c r="B3640" s="34"/>
    </row>
    <row r="3641">
      <c r="B3641" s="34"/>
    </row>
    <row r="3642">
      <c r="B3642" s="34"/>
    </row>
    <row r="3643">
      <c r="B3643" s="34"/>
    </row>
    <row r="3644">
      <c r="B3644" s="34"/>
    </row>
    <row r="3645">
      <c r="B3645" s="34"/>
    </row>
    <row r="3646">
      <c r="B3646" s="34"/>
    </row>
    <row r="3647">
      <c r="B3647" s="34"/>
    </row>
    <row r="3648">
      <c r="B3648" s="34"/>
    </row>
    <row r="3649">
      <c r="B3649" s="34"/>
    </row>
    <row r="3650">
      <c r="B3650" s="34"/>
    </row>
    <row r="3651">
      <c r="B3651" s="34"/>
    </row>
    <row r="3652">
      <c r="B3652" s="34"/>
    </row>
    <row r="3653">
      <c r="B3653" s="34"/>
    </row>
    <row r="3654">
      <c r="B3654" s="34"/>
    </row>
    <row r="3655">
      <c r="B3655" s="34"/>
    </row>
    <row r="3656">
      <c r="B3656" s="34"/>
    </row>
    <row r="3657">
      <c r="B3657" s="34"/>
    </row>
    <row r="3658">
      <c r="B3658" s="34"/>
    </row>
    <row r="3659">
      <c r="B3659" s="34"/>
    </row>
    <row r="3660">
      <c r="B3660" s="34"/>
    </row>
    <row r="3661">
      <c r="B3661" s="34"/>
    </row>
    <row r="3662">
      <c r="B3662" s="34"/>
    </row>
    <row r="3663">
      <c r="B3663" s="34"/>
    </row>
    <row r="3664">
      <c r="B3664" s="34"/>
    </row>
    <row r="3665">
      <c r="B3665" s="34"/>
    </row>
    <row r="3666">
      <c r="B3666" s="34"/>
    </row>
    <row r="3667">
      <c r="B3667" s="34"/>
    </row>
    <row r="3668">
      <c r="B3668" s="34"/>
    </row>
    <row r="3669">
      <c r="B3669" s="34"/>
    </row>
    <row r="3670">
      <c r="B3670" s="34"/>
    </row>
    <row r="3671">
      <c r="B3671" s="34"/>
    </row>
    <row r="3672">
      <c r="B3672" s="34"/>
    </row>
    <row r="3673">
      <c r="B3673" s="34"/>
    </row>
    <row r="3674">
      <c r="B3674" s="34"/>
    </row>
    <row r="3675">
      <c r="B3675" s="34"/>
    </row>
    <row r="3676">
      <c r="B3676" s="34"/>
    </row>
    <row r="3677">
      <c r="B3677" s="34"/>
    </row>
    <row r="3678">
      <c r="B3678" s="34"/>
    </row>
    <row r="3679">
      <c r="B3679" s="34"/>
    </row>
    <row r="3680">
      <c r="B3680" s="34"/>
    </row>
    <row r="3681">
      <c r="B3681" s="34"/>
    </row>
    <row r="3682">
      <c r="B3682" s="34"/>
    </row>
    <row r="3683">
      <c r="B3683" s="34"/>
    </row>
    <row r="3684">
      <c r="B3684" s="34"/>
    </row>
    <row r="3685">
      <c r="B3685" s="34"/>
    </row>
    <row r="3686">
      <c r="B3686" s="34"/>
    </row>
    <row r="3687">
      <c r="B3687" s="34"/>
    </row>
    <row r="3688">
      <c r="B3688" s="34"/>
    </row>
    <row r="3689">
      <c r="B3689" s="34"/>
    </row>
    <row r="3690">
      <c r="B3690" s="34"/>
    </row>
    <row r="3691">
      <c r="B3691" s="34"/>
    </row>
    <row r="3692">
      <c r="B3692" s="34"/>
    </row>
    <row r="3693">
      <c r="B3693" s="34"/>
    </row>
    <row r="3694">
      <c r="B3694" s="34"/>
    </row>
    <row r="3695">
      <c r="B3695" s="34"/>
    </row>
    <row r="3696">
      <c r="B3696" s="34"/>
    </row>
    <row r="3697">
      <c r="B3697" s="34"/>
    </row>
    <row r="3698">
      <c r="B3698" s="34"/>
    </row>
    <row r="3699">
      <c r="B3699" s="34"/>
    </row>
    <row r="3700">
      <c r="B3700" s="34"/>
    </row>
    <row r="3701">
      <c r="B3701" s="34"/>
    </row>
    <row r="3702">
      <c r="B3702" s="34"/>
    </row>
    <row r="3703">
      <c r="B3703" s="34"/>
    </row>
    <row r="3704">
      <c r="B3704" s="34"/>
    </row>
    <row r="3705">
      <c r="B3705" s="34"/>
    </row>
    <row r="3706">
      <c r="B3706" s="34"/>
    </row>
    <row r="3707">
      <c r="B3707" s="34"/>
    </row>
    <row r="3708">
      <c r="B3708" s="34"/>
    </row>
    <row r="3709">
      <c r="B3709" s="34"/>
    </row>
    <row r="3710">
      <c r="B3710" s="34"/>
    </row>
    <row r="3711">
      <c r="B3711" s="34"/>
    </row>
    <row r="3712">
      <c r="B3712" s="34"/>
    </row>
    <row r="3713">
      <c r="B3713" s="34"/>
    </row>
    <row r="3714">
      <c r="B3714" s="34"/>
    </row>
    <row r="3715">
      <c r="B3715" s="34"/>
    </row>
    <row r="3716">
      <c r="B3716" s="34"/>
    </row>
    <row r="3717">
      <c r="B3717" s="34"/>
    </row>
    <row r="3718">
      <c r="B3718" s="34"/>
    </row>
    <row r="3719">
      <c r="B3719" s="34"/>
    </row>
    <row r="3720">
      <c r="B3720" s="34"/>
    </row>
    <row r="3721">
      <c r="B3721" s="34"/>
    </row>
    <row r="3722">
      <c r="B3722" s="34"/>
    </row>
    <row r="3723">
      <c r="B3723" s="34"/>
    </row>
    <row r="3724">
      <c r="B3724" s="34"/>
    </row>
    <row r="3725">
      <c r="B3725" s="34"/>
    </row>
    <row r="3726">
      <c r="B3726" s="34"/>
    </row>
    <row r="3727">
      <c r="B3727" s="34"/>
    </row>
    <row r="3728">
      <c r="B3728" s="34"/>
    </row>
    <row r="3729">
      <c r="B3729" s="34"/>
    </row>
    <row r="3730">
      <c r="B3730" s="34"/>
    </row>
    <row r="3731">
      <c r="B3731" s="34"/>
    </row>
    <row r="3732">
      <c r="B3732" s="34"/>
    </row>
    <row r="3733">
      <c r="B3733" s="34"/>
    </row>
    <row r="3734">
      <c r="B3734" s="34"/>
    </row>
    <row r="3735">
      <c r="B3735" s="34"/>
    </row>
    <row r="3736">
      <c r="B3736" s="34"/>
    </row>
    <row r="3737">
      <c r="B3737" s="34"/>
    </row>
    <row r="3738">
      <c r="B3738" s="34"/>
    </row>
    <row r="3739">
      <c r="B3739" s="34"/>
    </row>
    <row r="3740">
      <c r="B3740" s="34"/>
    </row>
    <row r="3741">
      <c r="B3741" s="34"/>
    </row>
    <row r="3742">
      <c r="B3742" s="34"/>
    </row>
    <row r="3743">
      <c r="B3743" s="34"/>
    </row>
    <row r="3744">
      <c r="B3744" s="34"/>
    </row>
    <row r="3745">
      <c r="B3745" s="34"/>
    </row>
    <row r="3746">
      <c r="B3746" s="34"/>
    </row>
    <row r="3747">
      <c r="B3747" s="34"/>
    </row>
    <row r="3748">
      <c r="B3748" s="34"/>
    </row>
    <row r="3749">
      <c r="B3749" s="34"/>
    </row>
    <row r="3750">
      <c r="B3750" s="34"/>
    </row>
    <row r="3751">
      <c r="B3751" s="34"/>
    </row>
    <row r="3752">
      <c r="B3752" s="34"/>
    </row>
    <row r="3753">
      <c r="B3753" s="34"/>
    </row>
    <row r="3754">
      <c r="B3754" s="34"/>
    </row>
    <row r="3755">
      <c r="B3755" s="34"/>
    </row>
    <row r="3756">
      <c r="B3756" s="34"/>
    </row>
    <row r="3757">
      <c r="B3757" s="34"/>
    </row>
    <row r="3758">
      <c r="B3758" s="34"/>
    </row>
    <row r="3759">
      <c r="B3759" s="34"/>
    </row>
    <row r="3760">
      <c r="B3760" s="34"/>
    </row>
    <row r="3761">
      <c r="B3761" s="34"/>
    </row>
    <row r="3762">
      <c r="B3762" s="34"/>
    </row>
    <row r="3763">
      <c r="B3763" s="34"/>
    </row>
    <row r="3764">
      <c r="B3764" s="34"/>
    </row>
    <row r="3765">
      <c r="B3765" s="34"/>
    </row>
    <row r="3766">
      <c r="B3766" s="34"/>
    </row>
    <row r="3767">
      <c r="B3767" s="34"/>
    </row>
    <row r="3768">
      <c r="B3768" s="34"/>
    </row>
    <row r="3769">
      <c r="B3769" s="34"/>
    </row>
    <row r="3770">
      <c r="B3770" s="34"/>
    </row>
    <row r="3771">
      <c r="B3771" s="34"/>
    </row>
    <row r="3772">
      <c r="B3772" s="34"/>
    </row>
    <row r="3773">
      <c r="B3773" s="34"/>
    </row>
    <row r="3774">
      <c r="B3774" s="34"/>
    </row>
    <row r="3775">
      <c r="B3775" s="34"/>
    </row>
    <row r="3776">
      <c r="B3776" s="34"/>
    </row>
    <row r="3777">
      <c r="B3777" s="34"/>
    </row>
    <row r="3778">
      <c r="B3778" s="34"/>
    </row>
    <row r="3779">
      <c r="B3779" s="34"/>
    </row>
    <row r="3780">
      <c r="B3780" s="34"/>
    </row>
    <row r="3781">
      <c r="B3781" s="34"/>
    </row>
    <row r="3782">
      <c r="B3782" s="34"/>
    </row>
    <row r="3783">
      <c r="B3783" s="34"/>
    </row>
    <row r="3784">
      <c r="B3784" s="34"/>
    </row>
    <row r="3785">
      <c r="B3785" s="34"/>
    </row>
    <row r="3786">
      <c r="B3786" s="34"/>
    </row>
    <row r="3787">
      <c r="B3787" s="34"/>
    </row>
    <row r="3788">
      <c r="B3788" s="34"/>
    </row>
    <row r="3789">
      <c r="B3789" s="34"/>
    </row>
    <row r="3790">
      <c r="B3790" s="34"/>
    </row>
    <row r="3791">
      <c r="B3791" s="34"/>
    </row>
    <row r="3792">
      <c r="B3792" s="34"/>
    </row>
    <row r="3793">
      <c r="B3793" s="34"/>
    </row>
    <row r="3794">
      <c r="B3794" s="34"/>
    </row>
    <row r="3795">
      <c r="B3795" s="34"/>
    </row>
    <row r="3796">
      <c r="B3796" s="34"/>
    </row>
    <row r="3797">
      <c r="B3797" s="34"/>
    </row>
    <row r="3798">
      <c r="B3798" s="34"/>
    </row>
    <row r="3799">
      <c r="B3799" s="34"/>
    </row>
    <row r="3800">
      <c r="B3800" s="34"/>
    </row>
    <row r="3801">
      <c r="B3801" s="34"/>
    </row>
    <row r="3802">
      <c r="B3802" s="34"/>
    </row>
    <row r="3803">
      <c r="B3803" s="34"/>
    </row>
    <row r="3804">
      <c r="B3804" s="34"/>
    </row>
    <row r="3805">
      <c r="B3805" s="34"/>
    </row>
    <row r="3806">
      <c r="B3806" s="34"/>
    </row>
    <row r="3807">
      <c r="B3807" s="34"/>
    </row>
    <row r="3808">
      <c r="B3808" s="34"/>
    </row>
    <row r="3809">
      <c r="B3809" s="34"/>
    </row>
    <row r="3810">
      <c r="B3810" s="34"/>
    </row>
    <row r="3811">
      <c r="B3811" s="34"/>
    </row>
    <row r="3812">
      <c r="B3812" s="34"/>
    </row>
    <row r="3813">
      <c r="B3813" s="34"/>
    </row>
    <row r="3814">
      <c r="B3814" s="34"/>
    </row>
    <row r="3815">
      <c r="B3815" s="34"/>
    </row>
    <row r="3816">
      <c r="B3816" s="34"/>
    </row>
    <row r="3817">
      <c r="B3817" s="34"/>
    </row>
    <row r="3818">
      <c r="B3818" s="34"/>
    </row>
    <row r="3819">
      <c r="B3819" s="34"/>
    </row>
    <row r="3820">
      <c r="B3820" s="34"/>
    </row>
    <row r="3821">
      <c r="B3821" s="34"/>
    </row>
    <row r="3822">
      <c r="B3822" s="34"/>
    </row>
    <row r="3823">
      <c r="B3823" s="34"/>
    </row>
    <row r="3824">
      <c r="B3824" s="34"/>
    </row>
    <row r="3825">
      <c r="B3825" s="34"/>
    </row>
    <row r="3826">
      <c r="B3826" s="34"/>
    </row>
    <row r="3827">
      <c r="B3827" s="34"/>
    </row>
    <row r="3828">
      <c r="B3828" s="34"/>
    </row>
    <row r="3829">
      <c r="B3829" s="34"/>
    </row>
    <row r="3830">
      <c r="B3830" s="34"/>
    </row>
    <row r="3831">
      <c r="B3831" s="34"/>
    </row>
    <row r="3832">
      <c r="B3832" s="34"/>
    </row>
    <row r="3833">
      <c r="B3833" s="34"/>
    </row>
    <row r="3834">
      <c r="B3834" s="34"/>
    </row>
    <row r="3835">
      <c r="B3835" s="34"/>
    </row>
    <row r="3836">
      <c r="B3836" s="34"/>
    </row>
    <row r="3837">
      <c r="B3837" s="34"/>
    </row>
    <row r="3838">
      <c r="B3838" s="34"/>
    </row>
    <row r="3839">
      <c r="B3839" s="34"/>
    </row>
    <row r="3840">
      <c r="B3840" s="34"/>
    </row>
    <row r="3841">
      <c r="B3841" s="34"/>
    </row>
    <row r="3842">
      <c r="B3842" s="34"/>
    </row>
    <row r="3843">
      <c r="B3843" s="34"/>
    </row>
    <row r="3844">
      <c r="B3844" s="34"/>
    </row>
    <row r="3845">
      <c r="B3845" s="34"/>
    </row>
    <row r="3846">
      <c r="B3846" s="34"/>
    </row>
    <row r="3847">
      <c r="B3847" s="34"/>
    </row>
    <row r="3848">
      <c r="B3848" s="34"/>
    </row>
    <row r="3849">
      <c r="B3849" s="34"/>
    </row>
    <row r="3850">
      <c r="B3850" s="34"/>
    </row>
    <row r="3851">
      <c r="B3851" s="34"/>
    </row>
    <row r="3852">
      <c r="B3852" s="34"/>
    </row>
    <row r="3853">
      <c r="B3853" s="34"/>
    </row>
    <row r="3854">
      <c r="B3854" s="34"/>
    </row>
    <row r="3855">
      <c r="B3855" s="34"/>
    </row>
    <row r="3856">
      <c r="B3856" s="34"/>
    </row>
    <row r="3857">
      <c r="B3857" s="34"/>
    </row>
    <row r="3858">
      <c r="B3858" s="34"/>
    </row>
    <row r="3859">
      <c r="B3859" s="34"/>
    </row>
    <row r="3860">
      <c r="B3860" s="34"/>
    </row>
    <row r="3861">
      <c r="B3861" s="34"/>
    </row>
    <row r="3862">
      <c r="B3862" s="34"/>
    </row>
    <row r="3863">
      <c r="B3863" s="34"/>
    </row>
    <row r="3864">
      <c r="B3864" s="34"/>
    </row>
    <row r="3865">
      <c r="B3865" s="34"/>
    </row>
    <row r="3866">
      <c r="B3866" s="34"/>
    </row>
    <row r="3867">
      <c r="B3867" s="34"/>
    </row>
    <row r="3868">
      <c r="B3868" s="34"/>
    </row>
    <row r="3869">
      <c r="B3869" s="34"/>
    </row>
    <row r="3870">
      <c r="B3870" s="34"/>
    </row>
    <row r="3871">
      <c r="B3871" s="34"/>
    </row>
    <row r="3872">
      <c r="B3872" s="34"/>
    </row>
    <row r="3873">
      <c r="B3873" s="34"/>
    </row>
    <row r="3874">
      <c r="B3874" s="34"/>
    </row>
    <row r="3875">
      <c r="B3875" s="34"/>
    </row>
    <row r="3876">
      <c r="B3876" s="34"/>
    </row>
    <row r="3877">
      <c r="B3877" s="34"/>
    </row>
    <row r="3878">
      <c r="B3878" s="34"/>
    </row>
    <row r="3879">
      <c r="B3879" s="34"/>
    </row>
    <row r="3880">
      <c r="B3880" s="34"/>
    </row>
    <row r="3881">
      <c r="B3881" s="34"/>
    </row>
    <row r="3882">
      <c r="B3882" s="34"/>
    </row>
    <row r="3883">
      <c r="B3883" s="34"/>
    </row>
    <row r="3884">
      <c r="B3884" s="34"/>
    </row>
    <row r="3885">
      <c r="B3885" s="34"/>
    </row>
    <row r="3886">
      <c r="B3886" s="34"/>
    </row>
    <row r="3887">
      <c r="B3887" s="34"/>
    </row>
    <row r="3888">
      <c r="B3888" s="34"/>
    </row>
    <row r="3889">
      <c r="B3889" s="34"/>
    </row>
    <row r="3890">
      <c r="B3890" s="34"/>
    </row>
    <row r="3891">
      <c r="B3891" s="34"/>
    </row>
    <row r="3892">
      <c r="B3892" s="34"/>
    </row>
    <row r="3893">
      <c r="B3893" s="34"/>
    </row>
    <row r="3894">
      <c r="B3894" s="34"/>
    </row>
    <row r="3895">
      <c r="B3895" s="34"/>
    </row>
    <row r="3896">
      <c r="B3896" s="34"/>
    </row>
    <row r="3897">
      <c r="B3897" s="34"/>
    </row>
    <row r="3898">
      <c r="B3898" s="34"/>
    </row>
    <row r="3899">
      <c r="B3899" s="34"/>
    </row>
    <row r="3900">
      <c r="B3900" s="34"/>
    </row>
    <row r="3901">
      <c r="B3901" s="34"/>
    </row>
    <row r="3902">
      <c r="B3902" s="34"/>
    </row>
    <row r="3903">
      <c r="B3903" s="34"/>
    </row>
    <row r="3904">
      <c r="B3904" s="34"/>
    </row>
    <row r="3905">
      <c r="B3905" s="34"/>
    </row>
    <row r="3906">
      <c r="B3906" s="34"/>
    </row>
    <row r="3907">
      <c r="B3907" s="34"/>
    </row>
    <row r="3908">
      <c r="B3908" s="34"/>
    </row>
    <row r="3909">
      <c r="B3909" s="34"/>
    </row>
    <row r="3910">
      <c r="B3910" s="34"/>
    </row>
    <row r="3911">
      <c r="B3911" s="34"/>
    </row>
    <row r="3912">
      <c r="B3912" s="34"/>
    </row>
    <row r="3913">
      <c r="B3913" s="34"/>
    </row>
    <row r="3914">
      <c r="B3914" s="34"/>
    </row>
    <row r="3915">
      <c r="B3915" s="34"/>
    </row>
    <row r="3916">
      <c r="B3916" s="34"/>
    </row>
    <row r="3917">
      <c r="B3917" s="34"/>
    </row>
    <row r="3918">
      <c r="B3918" s="34"/>
    </row>
    <row r="3919">
      <c r="B3919" s="34"/>
    </row>
    <row r="3920">
      <c r="B3920" s="34"/>
    </row>
    <row r="3921">
      <c r="B3921" s="34"/>
    </row>
    <row r="3922">
      <c r="B3922" s="34"/>
    </row>
    <row r="3923">
      <c r="B3923" s="34"/>
    </row>
    <row r="3924">
      <c r="B3924" s="34"/>
    </row>
    <row r="3925">
      <c r="B3925" s="34"/>
    </row>
    <row r="3926">
      <c r="B3926" s="34"/>
    </row>
    <row r="3927">
      <c r="B3927" s="34"/>
    </row>
    <row r="3928">
      <c r="B3928" s="34"/>
    </row>
    <row r="3929">
      <c r="B3929" s="34"/>
    </row>
    <row r="3930">
      <c r="B3930" s="34"/>
    </row>
    <row r="3931">
      <c r="B3931" s="34"/>
    </row>
    <row r="3932">
      <c r="B3932" s="34"/>
    </row>
    <row r="3933">
      <c r="B3933" s="34"/>
    </row>
    <row r="3934">
      <c r="B3934" s="34"/>
    </row>
    <row r="3935">
      <c r="B3935" s="34"/>
    </row>
    <row r="3936">
      <c r="B3936" s="34"/>
    </row>
    <row r="3937">
      <c r="B3937" s="34"/>
    </row>
    <row r="3938">
      <c r="B3938" s="34"/>
    </row>
    <row r="3939">
      <c r="B3939" s="34"/>
    </row>
    <row r="3940">
      <c r="B3940" s="34"/>
    </row>
    <row r="3941">
      <c r="B3941" s="34"/>
    </row>
    <row r="3942">
      <c r="B3942" s="34"/>
    </row>
    <row r="3943">
      <c r="B3943" s="34"/>
    </row>
    <row r="3944">
      <c r="B3944" s="34"/>
    </row>
    <row r="3945">
      <c r="B3945" s="34"/>
    </row>
    <row r="3946">
      <c r="B3946" s="34"/>
    </row>
    <row r="3947">
      <c r="B3947" s="34"/>
    </row>
    <row r="3948">
      <c r="B3948" s="34"/>
    </row>
    <row r="3949">
      <c r="B3949" s="34"/>
    </row>
    <row r="3950">
      <c r="B3950" s="34"/>
    </row>
    <row r="3951">
      <c r="B3951" s="34"/>
    </row>
    <row r="3952">
      <c r="B3952" s="34"/>
    </row>
    <row r="3953">
      <c r="B3953" s="34"/>
    </row>
    <row r="3954">
      <c r="B3954" s="34"/>
    </row>
    <row r="3955">
      <c r="B3955" s="34"/>
    </row>
    <row r="3956">
      <c r="B3956" s="34"/>
    </row>
    <row r="3957">
      <c r="B3957" s="34"/>
    </row>
    <row r="3958">
      <c r="B3958" s="34"/>
    </row>
    <row r="3959">
      <c r="B3959" s="34"/>
    </row>
    <row r="3960">
      <c r="B3960" s="34"/>
    </row>
    <row r="3961">
      <c r="B3961" s="34"/>
    </row>
    <row r="3962">
      <c r="B3962" s="34"/>
    </row>
    <row r="3963">
      <c r="B3963" s="34"/>
    </row>
    <row r="3964">
      <c r="B3964" s="34"/>
    </row>
    <row r="3965">
      <c r="B3965" s="34"/>
    </row>
    <row r="3966">
      <c r="B3966" s="34"/>
    </row>
    <row r="3967">
      <c r="B3967" s="34"/>
    </row>
    <row r="3968">
      <c r="B3968" s="34"/>
    </row>
    <row r="3969">
      <c r="B3969" s="34"/>
    </row>
    <row r="3970">
      <c r="B3970" s="34"/>
    </row>
    <row r="3971">
      <c r="B3971" s="34"/>
    </row>
    <row r="3972">
      <c r="B3972" s="34"/>
    </row>
    <row r="3973">
      <c r="B3973" s="34"/>
    </row>
    <row r="3974">
      <c r="B3974" s="34"/>
    </row>
    <row r="3975">
      <c r="B3975" s="34"/>
    </row>
    <row r="3976">
      <c r="B3976" s="34"/>
    </row>
    <row r="3977">
      <c r="B3977" s="34"/>
    </row>
    <row r="3978">
      <c r="B3978" s="34"/>
    </row>
    <row r="3979">
      <c r="B3979" s="34"/>
    </row>
    <row r="3980">
      <c r="B3980" s="34"/>
    </row>
    <row r="3981">
      <c r="B3981" s="34"/>
    </row>
    <row r="3982">
      <c r="B3982" s="34"/>
    </row>
    <row r="3983">
      <c r="B3983" s="34"/>
    </row>
    <row r="3984">
      <c r="B3984" s="34"/>
    </row>
    <row r="3985">
      <c r="B3985" s="34"/>
    </row>
    <row r="3986">
      <c r="B3986" s="34"/>
    </row>
    <row r="3987">
      <c r="B3987" s="34"/>
    </row>
    <row r="3988">
      <c r="B3988" s="34"/>
    </row>
    <row r="3989">
      <c r="B3989" s="34"/>
    </row>
    <row r="3990">
      <c r="B3990" s="34"/>
    </row>
    <row r="3991">
      <c r="B3991" s="34"/>
    </row>
    <row r="3992">
      <c r="B3992" s="34"/>
    </row>
    <row r="3993">
      <c r="B3993" s="34"/>
    </row>
    <row r="3994">
      <c r="B3994" s="34"/>
    </row>
    <row r="3995">
      <c r="B3995" s="34"/>
    </row>
    <row r="3996">
      <c r="B3996" s="34"/>
    </row>
    <row r="3997">
      <c r="B3997" s="34"/>
    </row>
    <row r="3998">
      <c r="B3998" s="34"/>
    </row>
    <row r="3999">
      <c r="B3999" s="34"/>
    </row>
    <row r="4000">
      <c r="B4000" s="34"/>
    </row>
    <row r="4001">
      <c r="B4001" s="34"/>
    </row>
    <row r="4002">
      <c r="B4002" s="34"/>
    </row>
    <row r="4003">
      <c r="B4003" s="34"/>
    </row>
    <row r="4004">
      <c r="B4004" s="34"/>
    </row>
    <row r="4005">
      <c r="B4005" s="34"/>
    </row>
    <row r="4006">
      <c r="B4006" s="34"/>
    </row>
    <row r="4007">
      <c r="B4007" s="34"/>
    </row>
    <row r="4008">
      <c r="B4008" s="34"/>
    </row>
    <row r="4009">
      <c r="B4009" s="34"/>
    </row>
    <row r="4010">
      <c r="B4010" s="34"/>
    </row>
    <row r="4011">
      <c r="B4011" s="34"/>
    </row>
    <row r="4012">
      <c r="B4012" s="34"/>
    </row>
    <row r="4013">
      <c r="B4013" s="34"/>
    </row>
    <row r="4014">
      <c r="B4014" s="34"/>
    </row>
    <row r="4015">
      <c r="B4015" s="34"/>
    </row>
    <row r="4016">
      <c r="B4016" s="34"/>
    </row>
    <row r="4017">
      <c r="B4017" s="34"/>
    </row>
    <row r="4018">
      <c r="B4018" s="34"/>
    </row>
    <row r="4019">
      <c r="B4019" s="34"/>
    </row>
    <row r="4020">
      <c r="B4020" s="34"/>
    </row>
    <row r="4021">
      <c r="B4021" s="34"/>
    </row>
    <row r="4022">
      <c r="B4022" s="34"/>
    </row>
    <row r="4023">
      <c r="B4023" s="34"/>
    </row>
    <row r="4024">
      <c r="B4024" s="34"/>
    </row>
    <row r="4025">
      <c r="B4025" s="34"/>
    </row>
    <row r="4026">
      <c r="B4026" s="34"/>
    </row>
    <row r="4027">
      <c r="B4027" s="34"/>
    </row>
    <row r="4028">
      <c r="B4028" s="34"/>
    </row>
    <row r="4029">
      <c r="B4029" s="34"/>
    </row>
    <row r="4030">
      <c r="B4030" s="34"/>
    </row>
    <row r="4031">
      <c r="B4031" s="34"/>
    </row>
    <row r="4032">
      <c r="B4032" s="34"/>
    </row>
    <row r="4033">
      <c r="B4033" s="34"/>
    </row>
    <row r="4034">
      <c r="B4034" s="34"/>
    </row>
    <row r="4035">
      <c r="B4035" s="34"/>
    </row>
    <row r="4036">
      <c r="B4036" s="34"/>
    </row>
    <row r="4037">
      <c r="B4037" s="34"/>
    </row>
    <row r="4038">
      <c r="B4038" s="34"/>
    </row>
    <row r="4039">
      <c r="B4039" s="34"/>
    </row>
    <row r="4040">
      <c r="B4040" s="34"/>
    </row>
    <row r="4041">
      <c r="B4041" s="34"/>
    </row>
    <row r="4042">
      <c r="B4042" s="34"/>
    </row>
    <row r="4043">
      <c r="B4043" s="34"/>
    </row>
    <row r="4044">
      <c r="B4044" s="34"/>
    </row>
    <row r="4045">
      <c r="B4045" s="34"/>
    </row>
    <row r="4046">
      <c r="B4046" s="34"/>
    </row>
    <row r="4047">
      <c r="B4047" s="34"/>
    </row>
    <row r="4048">
      <c r="B4048" s="34"/>
    </row>
    <row r="4049">
      <c r="B4049" s="34"/>
    </row>
    <row r="4050">
      <c r="B4050" s="34"/>
    </row>
    <row r="4051">
      <c r="B4051" s="34"/>
    </row>
    <row r="4052">
      <c r="B4052" s="34"/>
    </row>
    <row r="4053">
      <c r="B4053" s="34"/>
    </row>
    <row r="4054">
      <c r="B4054" s="34"/>
    </row>
    <row r="4055">
      <c r="B4055" s="34"/>
    </row>
    <row r="4056">
      <c r="B4056" s="34"/>
    </row>
    <row r="4057">
      <c r="B4057" s="34"/>
    </row>
    <row r="4058">
      <c r="B4058" s="34"/>
    </row>
    <row r="4059">
      <c r="B4059" s="34"/>
    </row>
    <row r="4060">
      <c r="B4060" s="34"/>
    </row>
    <row r="4061">
      <c r="B4061" s="34"/>
    </row>
    <row r="4062">
      <c r="B4062" s="34"/>
    </row>
    <row r="4063">
      <c r="B4063" s="34"/>
    </row>
    <row r="4064">
      <c r="B4064" s="34"/>
    </row>
    <row r="4065">
      <c r="B4065" s="34"/>
    </row>
    <row r="4066">
      <c r="B4066" s="34"/>
    </row>
    <row r="4067">
      <c r="B4067" s="34"/>
    </row>
    <row r="4068">
      <c r="B4068" s="34"/>
    </row>
    <row r="4069">
      <c r="B4069" s="34"/>
    </row>
    <row r="4070">
      <c r="B4070" s="34"/>
    </row>
    <row r="4071">
      <c r="B4071" s="34"/>
    </row>
    <row r="4072">
      <c r="B4072" s="34"/>
    </row>
    <row r="4073">
      <c r="B4073" s="34"/>
    </row>
    <row r="4074">
      <c r="B4074" s="34"/>
    </row>
    <row r="4075">
      <c r="B4075" s="34"/>
    </row>
    <row r="4076">
      <c r="B4076" s="34"/>
    </row>
    <row r="4077">
      <c r="B4077" s="34"/>
    </row>
    <row r="4078">
      <c r="B4078" s="34"/>
    </row>
    <row r="4079">
      <c r="B4079" s="34"/>
    </row>
    <row r="4080">
      <c r="B4080" s="34"/>
    </row>
    <row r="4081">
      <c r="B4081" s="34"/>
    </row>
    <row r="4082">
      <c r="B4082" s="34"/>
    </row>
    <row r="4083">
      <c r="B4083" s="34"/>
    </row>
    <row r="4084">
      <c r="B4084" s="34"/>
    </row>
    <row r="4085">
      <c r="B4085" s="34"/>
    </row>
    <row r="4086">
      <c r="B4086" s="34"/>
    </row>
    <row r="4087">
      <c r="B4087" s="34"/>
    </row>
    <row r="4088">
      <c r="B4088" s="34"/>
    </row>
    <row r="4089">
      <c r="B4089" s="34"/>
    </row>
    <row r="4090">
      <c r="B4090" s="34"/>
    </row>
    <row r="4091">
      <c r="B4091" s="34"/>
    </row>
    <row r="4092">
      <c r="B4092" s="34"/>
    </row>
    <row r="4093">
      <c r="B4093" s="34"/>
    </row>
    <row r="4094">
      <c r="B4094" s="34"/>
    </row>
    <row r="4095">
      <c r="B4095" s="34"/>
    </row>
    <row r="4096">
      <c r="B4096" s="34"/>
    </row>
    <row r="4097">
      <c r="B4097" s="34"/>
    </row>
    <row r="4098">
      <c r="B4098" s="34"/>
    </row>
    <row r="4099">
      <c r="B4099" s="34"/>
    </row>
    <row r="4100">
      <c r="B4100" s="34"/>
    </row>
    <row r="4101">
      <c r="B4101" s="34"/>
    </row>
    <row r="4102">
      <c r="B4102" s="34"/>
    </row>
    <row r="4103">
      <c r="B4103" s="34"/>
    </row>
    <row r="4104">
      <c r="B4104" s="34"/>
    </row>
    <row r="4105">
      <c r="B4105" s="34"/>
    </row>
    <row r="4106">
      <c r="B4106" s="34"/>
    </row>
    <row r="4107">
      <c r="B4107" s="34"/>
    </row>
    <row r="4108">
      <c r="B4108" s="34"/>
    </row>
    <row r="4109">
      <c r="B4109" s="34"/>
    </row>
    <row r="4110">
      <c r="B4110" s="34"/>
    </row>
    <row r="4111">
      <c r="B4111" s="34"/>
    </row>
    <row r="4112">
      <c r="B4112" s="34"/>
    </row>
    <row r="4113">
      <c r="B4113" s="34"/>
    </row>
    <row r="4114">
      <c r="B4114" s="34"/>
    </row>
    <row r="4115">
      <c r="B4115" s="34"/>
    </row>
    <row r="4116">
      <c r="B4116" s="34"/>
    </row>
    <row r="4117">
      <c r="B4117" s="34"/>
    </row>
    <row r="4118">
      <c r="B4118" s="34"/>
    </row>
    <row r="4119">
      <c r="B4119" s="34"/>
    </row>
    <row r="4120">
      <c r="B4120" s="34"/>
    </row>
    <row r="4121">
      <c r="B4121" s="34"/>
    </row>
    <row r="4122">
      <c r="B4122" s="34"/>
    </row>
    <row r="4123">
      <c r="B4123" s="34"/>
    </row>
    <row r="4124">
      <c r="B4124" s="34"/>
    </row>
    <row r="4125">
      <c r="B4125" s="34"/>
    </row>
    <row r="4126">
      <c r="B4126" s="34"/>
    </row>
    <row r="4127">
      <c r="B4127" s="34"/>
    </row>
    <row r="4128">
      <c r="B4128" s="34"/>
    </row>
    <row r="4129">
      <c r="B4129" s="34"/>
    </row>
    <row r="4130">
      <c r="B4130" s="34"/>
    </row>
    <row r="4131">
      <c r="B4131" s="34"/>
    </row>
    <row r="4132">
      <c r="B4132" s="34"/>
    </row>
    <row r="4133">
      <c r="B4133" s="34"/>
    </row>
    <row r="4134">
      <c r="B4134" s="34"/>
    </row>
    <row r="4135">
      <c r="B4135" s="34"/>
    </row>
    <row r="4136">
      <c r="B4136" s="34"/>
    </row>
    <row r="4137">
      <c r="B4137" s="34"/>
    </row>
    <row r="4138">
      <c r="B4138" s="34"/>
    </row>
    <row r="4139">
      <c r="B4139" s="34"/>
    </row>
    <row r="4140">
      <c r="B4140" s="34"/>
    </row>
    <row r="4141">
      <c r="B4141" s="34"/>
    </row>
    <row r="4142">
      <c r="B4142" s="34"/>
    </row>
    <row r="4143">
      <c r="B4143" s="34"/>
    </row>
    <row r="4144">
      <c r="B4144" s="34"/>
    </row>
    <row r="4145">
      <c r="B4145" s="34"/>
    </row>
    <row r="4146">
      <c r="B4146" s="34"/>
    </row>
    <row r="4147">
      <c r="B4147" s="34"/>
    </row>
    <row r="4148">
      <c r="B4148" s="34"/>
    </row>
    <row r="4149">
      <c r="B4149" s="34"/>
    </row>
    <row r="4150">
      <c r="B4150" s="34"/>
    </row>
    <row r="4151">
      <c r="B4151" s="34"/>
    </row>
    <row r="4152">
      <c r="B4152" s="34"/>
    </row>
    <row r="4153">
      <c r="B4153" s="34"/>
    </row>
    <row r="4154">
      <c r="B4154" s="34"/>
    </row>
    <row r="4155">
      <c r="B4155" s="34"/>
    </row>
    <row r="4156">
      <c r="B4156" s="34"/>
    </row>
    <row r="4157">
      <c r="B4157" s="34"/>
    </row>
    <row r="4158">
      <c r="B4158" s="34"/>
    </row>
    <row r="4159">
      <c r="B4159" s="34"/>
    </row>
    <row r="4160">
      <c r="B4160" s="34"/>
    </row>
    <row r="4161">
      <c r="B4161" s="34"/>
    </row>
    <row r="4162">
      <c r="B4162" s="34"/>
    </row>
    <row r="4163">
      <c r="B4163" s="34"/>
    </row>
    <row r="4164">
      <c r="B4164" s="34"/>
    </row>
    <row r="4165">
      <c r="B4165" s="34"/>
    </row>
    <row r="4166">
      <c r="B4166" s="34"/>
    </row>
    <row r="4167">
      <c r="B4167" s="34"/>
    </row>
    <row r="4168">
      <c r="B4168" s="34"/>
    </row>
    <row r="4169">
      <c r="B4169" s="34"/>
    </row>
    <row r="4170">
      <c r="B4170" s="34"/>
    </row>
    <row r="4171">
      <c r="B4171" s="34"/>
    </row>
    <row r="4172">
      <c r="B4172" s="34"/>
    </row>
    <row r="4173">
      <c r="B4173" s="34"/>
    </row>
    <row r="4174">
      <c r="B4174" s="34"/>
    </row>
    <row r="4175">
      <c r="B4175" s="34"/>
    </row>
    <row r="4176">
      <c r="B4176" s="34"/>
    </row>
    <row r="4177">
      <c r="B4177" s="34"/>
    </row>
    <row r="4178">
      <c r="B4178" s="34"/>
    </row>
    <row r="4179">
      <c r="B4179" s="34"/>
    </row>
    <row r="4180">
      <c r="B4180" s="34"/>
    </row>
    <row r="4181">
      <c r="B4181" s="34"/>
    </row>
    <row r="4182">
      <c r="B4182" s="34"/>
    </row>
    <row r="4183">
      <c r="B4183" s="34"/>
    </row>
    <row r="4184">
      <c r="B4184" s="34"/>
    </row>
    <row r="4185">
      <c r="B4185" s="34"/>
    </row>
    <row r="4186">
      <c r="B4186" s="34"/>
    </row>
    <row r="4187">
      <c r="B4187" s="34"/>
    </row>
    <row r="4188">
      <c r="B4188" s="34"/>
    </row>
    <row r="4189">
      <c r="B4189" s="34"/>
    </row>
    <row r="4190">
      <c r="B4190" s="34"/>
    </row>
    <row r="4191">
      <c r="B4191" s="34"/>
    </row>
    <row r="4192">
      <c r="B4192" s="34"/>
    </row>
    <row r="4193">
      <c r="B4193" s="34"/>
    </row>
    <row r="4194">
      <c r="B4194" s="34"/>
    </row>
    <row r="4195">
      <c r="B4195" s="34"/>
    </row>
    <row r="4196">
      <c r="B4196" s="34"/>
    </row>
    <row r="4197">
      <c r="B4197" s="34"/>
    </row>
    <row r="4198">
      <c r="B4198" s="34"/>
    </row>
    <row r="4199">
      <c r="B4199" s="34"/>
    </row>
    <row r="4200">
      <c r="B4200" s="34"/>
    </row>
    <row r="4201">
      <c r="B4201" s="34"/>
    </row>
    <row r="4202">
      <c r="B4202" s="34"/>
    </row>
    <row r="4203">
      <c r="B4203" s="34"/>
    </row>
    <row r="4204">
      <c r="B4204" s="34"/>
    </row>
    <row r="4205">
      <c r="B4205" s="34"/>
    </row>
    <row r="4206">
      <c r="B4206" s="34"/>
    </row>
    <row r="4207">
      <c r="B4207" s="34"/>
    </row>
    <row r="4208">
      <c r="B4208" s="34"/>
    </row>
    <row r="4209">
      <c r="B4209" s="34"/>
    </row>
    <row r="4210">
      <c r="B4210" s="34"/>
    </row>
    <row r="4211">
      <c r="B4211" s="34"/>
    </row>
    <row r="4212">
      <c r="B4212" s="34"/>
    </row>
    <row r="4213">
      <c r="B4213" s="34"/>
    </row>
    <row r="4214">
      <c r="B4214" s="34"/>
    </row>
    <row r="4215">
      <c r="B4215" s="34"/>
    </row>
    <row r="4216">
      <c r="B4216" s="34"/>
    </row>
    <row r="4217">
      <c r="B4217" s="34"/>
    </row>
    <row r="4218">
      <c r="B4218" s="34"/>
    </row>
    <row r="4219">
      <c r="B4219" s="34"/>
    </row>
    <row r="4220">
      <c r="B4220" s="34"/>
    </row>
    <row r="4221">
      <c r="B4221" s="34"/>
    </row>
    <row r="4222">
      <c r="B4222" s="34"/>
    </row>
    <row r="4223">
      <c r="B4223" s="34"/>
    </row>
    <row r="4224">
      <c r="B4224" s="34"/>
    </row>
    <row r="4225">
      <c r="B4225" s="34"/>
    </row>
    <row r="4226">
      <c r="B4226" s="34"/>
    </row>
    <row r="4227">
      <c r="B4227" s="34"/>
    </row>
    <row r="4228">
      <c r="B4228" s="34"/>
    </row>
    <row r="4229">
      <c r="B4229" s="34"/>
    </row>
    <row r="4230">
      <c r="B4230" s="34"/>
    </row>
    <row r="4231">
      <c r="B4231" s="34"/>
    </row>
    <row r="4232">
      <c r="B4232" s="34"/>
    </row>
    <row r="4233">
      <c r="B4233" s="34"/>
    </row>
    <row r="4234">
      <c r="B4234" s="34"/>
    </row>
    <row r="4235">
      <c r="B4235" s="34"/>
    </row>
    <row r="4236">
      <c r="B4236" s="34"/>
    </row>
    <row r="4237">
      <c r="B4237" s="34"/>
    </row>
    <row r="4238">
      <c r="B4238" s="34"/>
    </row>
    <row r="4239">
      <c r="B4239" s="34"/>
    </row>
    <row r="4240">
      <c r="B4240" s="34"/>
    </row>
    <row r="4241">
      <c r="B4241" s="34"/>
    </row>
    <row r="4242">
      <c r="B4242" s="34"/>
    </row>
    <row r="4243">
      <c r="B4243" s="34"/>
    </row>
    <row r="4244">
      <c r="B4244" s="34"/>
    </row>
    <row r="4245">
      <c r="B4245" s="34"/>
    </row>
    <row r="4246">
      <c r="B4246" s="34"/>
    </row>
    <row r="4247">
      <c r="B4247" s="34"/>
    </row>
    <row r="4248">
      <c r="B4248" s="34"/>
    </row>
    <row r="4249">
      <c r="B4249" s="34"/>
    </row>
    <row r="4250">
      <c r="B4250" s="34"/>
    </row>
    <row r="4251">
      <c r="B4251" s="34"/>
    </row>
    <row r="4252">
      <c r="B4252" s="34"/>
    </row>
    <row r="4253">
      <c r="B4253" s="34"/>
    </row>
    <row r="4254">
      <c r="B4254" s="34"/>
    </row>
    <row r="4255">
      <c r="B4255" s="34"/>
    </row>
    <row r="4256">
      <c r="B4256" s="34"/>
    </row>
    <row r="4257">
      <c r="B4257" s="34"/>
    </row>
    <row r="4258">
      <c r="B4258" s="34"/>
    </row>
    <row r="4259">
      <c r="B4259" s="34"/>
    </row>
    <row r="4260">
      <c r="B4260" s="34"/>
    </row>
    <row r="4261">
      <c r="B4261" s="34"/>
    </row>
    <row r="4262">
      <c r="B4262" s="34"/>
    </row>
    <row r="4263">
      <c r="B4263" s="34"/>
    </row>
    <row r="4264">
      <c r="B4264" s="34"/>
    </row>
    <row r="4265">
      <c r="B4265" s="34"/>
    </row>
    <row r="4266">
      <c r="B4266" s="34"/>
    </row>
    <row r="4267">
      <c r="B4267" s="34"/>
    </row>
    <row r="4268">
      <c r="B4268" s="34"/>
    </row>
    <row r="4269">
      <c r="B4269" s="34"/>
    </row>
    <row r="4270">
      <c r="B4270" s="34"/>
    </row>
    <row r="4271">
      <c r="B4271" s="34"/>
    </row>
    <row r="4272">
      <c r="B4272" s="34"/>
    </row>
    <row r="4273">
      <c r="B4273" s="34"/>
    </row>
    <row r="4274">
      <c r="B4274" s="34"/>
    </row>
    <row r="4275">
      <c r="B4275" s="34"/>
    </row>
    <row r="4276">
      <c r="B4276" s="34"/>
    </row>
    <row r="4277">
      <c r="B4277" s="34"/>
    </row>
    <row r="4278">
      <c r="B4278" s="34"/>
    </row>
    <row r="4279">
      <c r="B4279" s="34"/>
    </row>
    <row r="4280">
      <c r="B4280" s="34"/>
    </row>
    <row r="4281">
      <c r="B4281" s="34"/>
    </row>
    <row r="4282">
      <c r="B4282" s="34"/>
    </row>
    <row r="4283">
      <c r="B4283" s="34"/>
    </row>
    <row r="4284">
      <c r="B4284" s="34"/>
    </row>
    <row r="4285">
      <c r="B4285" s="34"/>
    </row>
    <row r="4286">
      <c r="B4286" s="34"/>
    </row>
    <row r="4287">
      <c r="B4287" s="34"/>
    </row>
    <row r="4288">
      <c r="B4288" s="34"/>
    </row>
    <row r="4289">
      <c r="B4289" s="34"/>
    </row>
    <row r="4290">
      <c r="B4290" s="34"/>
    </row>
    <row r="4291">
      <c r="B4291" s="34"/>
    </row>
    <row r="4292">
      <c r="B4292" s="34"/>
    </row>
    <row r="4293">
      <c r="B4293" s="34"/>
    </row>
    <row r="4294">
      <c r="B4294" s="34"/>
    </row>
    <row r="4295">
      <c r="B4295" s="34"/>
    </row>
    <row r="4296">
      <c r="B4296" s="34"/>
    </row>
    <row r="4297">
      <c r="B4297" s="34"/>
    </row>
    <row r="4298">
      <c r="B4298" s="34"/>
    </row>
    <row r="4299">
      <c r="B4299" s="34"/>
    </row>
    <row r="4300">
      <c r="B4300" s="34"/>
    </row>
    <row r="4301">
      <c r="B4301" s="34"/>
    </row>
    <row r="4302">
      <c r="B4302" s="34"/>
    </row>
    <row r="4303">
      <c r="B4303" s="34"/>
    </row>
    <row r="4304">
      <c r="B4304" s="34"/>
    </row>
    <row r="4305">
      <c r="B4305" s="34"/>
    </row>
    <row r="4306">
      <c r="B4306" s="34"/>
    </row>
    <row r="4307">
      <c r="B4307" s="34"/>
    </row>
    <row r="4308">
      <c r="B4308" s="34"/>
    </row>
    <row r="4309">
      <c r="B4309" s="34"/>
    </row>
    <row r="4310">
      <c r="B4310" s="34"/>
    </row>
    <row r="4311">
      <c r="B4311" s="34"/>
    </row>
    <row r="4312">
      <c r="B4312" s="34"/>
    </row>
    <row r="4313">
      <c r="B4313" s="34"/>
    </row>
    <row r="4314">
      <c r="B4314" s="34"/>
    </row>
    <row r="4315">
      <c r="B4315" s="34"/>
    </row>
    <row r="4316">
      <c r="B4316" s="34"/>
    </row>
    <row r="4317">
      <c r="B4317" s="34"/>
    </row>
    <row r="4318">
      <c r="B4318" s="34"/>
    </row>
    <row r="4319">
      <c r="B4319" s="34"/>
    </row>
    <row r="4320">
      <c r="B4320" s="34"/>
    </row>
    <row r="4321">
      <c r="B4321" s="34"/>
    </row>
    <row r="4322">
      <c r="B4322" s="34"/>
    </row>
    <row r="4323">
      <c r="B4323" s="34"/>
    </row>
    <row r="4324">
      <c r="B4324" s="34"/>
    </row>
    <row r="4325">
      <c r="B4325" s="34"/>
    </row>
    <row r="4326">
      <c r="B4326" s="34"/>
    </row>
    <row r="4327">
      <c r="B4327" s="34"/>
    </row>
    <row r="4328">
      <c r="B4328" s="34"/>
    </row>
    <row r="4329">
      <c r="B4329" s="34"/>
    </row>
    <row r="4330">
      <c r="B4330" s="34"/>
    </row>
    <row r="4331">
      <c r="B4331" s="34"/>
    </row>
    <row r="4332">
      <c r="B4332" s="34"/>
    </row>
    <row r="4333">
      <c r="B4333" s="34"/>
    </row>
    <row r="4334">
      <c r="B4334" s="34"/>
    </row>
    <row r="4335">
      <c r="B4335" s="34"/>
    </row>
    <row r="4336">
      <c r="B4336" s="34"/>
    </row>
    <row r="4337">
      <c r="B4337" s="34"/>
    </row>
    <row r="4338">
      <c r="B4338" s="34"/>
    </row>
    <row r="4339">
      <c r="B4339" s="34"/>
    </row>
    <row r="4340">
      <c r="B4340" s="34"/>
    </row>
    <row r="4341">
      <c r="B4341" s="34"/>
    </row>
    <row r="4342">
      <c r="B4342" s="34"/>
    </row>
    <row r="4343">
      <c r="B4343" s="34"/>
    </row>
    <row r="4344">
      <c r="B4344" s="34"/>
    </row>
    <row r="4345">
      <c r="B4345" s="34"/>
    </row>
    <row r="4346">
      <c r="B4346" s="34"/>
    </row>
    <row r="4347">
      <c r="B4347" s="34"/>
    </row>
    <row r="4348">
      <c r="B4348" s="34"/>
    </row>
    <row r="4349">
      <c r="B4349" s="34"/>
    </row>
    <row r="4350">
      <c r="B4350" s="34"/>
    </row>
    <row r="4351">
      <c r="B4351" s="34"/>
    </row>
    <row r="4352">
      <c r="B4352" s="34"/>
    </row>
    <row r="4353">
      <c r="B4353" s="34"/>
    </row>
    <row r="4354">
      <c r="B4354" s="34"/>
    </row>
    <row r="4355">
      <c r="B4355" s="34"/>
    </row>
    <row r="4356">
      <c r="B4356" s="34"/>
    </row>
    <row r="4357">
      <c r="B4357" s="34"/>
    </row>
    <row r="4358">
      <c r="B4358" s="34"/>
    </row>
    <row r="4359">
      <c r="B4359" s="34"/>
    </row>
    <row r="4360">
      <c r="B4360" s="34"/>
    </row>
    <row r="4361">
      <c r="B4361" s="34"/>
    </row>
    <row r="4362">
      <c r="B4362" s="34"/>
    </row>
    <row r="4363">
      <c r="B4363" s="34"/>
    </row>
    <row r="4364">
      <c r="B4364" s="34"/>
    </row>
    <row r="4365">
      <c r="B4365" s="34"/>
    </row>
    <row r="4366">
      <c r="B4366" s="34"/>
    </row>
    <row r="4367">
      <c r="B4367" s="34"/>
    </row>
    <row r="4368">
      <c r="B4368" s="34"/>
    </row>
    <row r="4369">
      <c r="B4369" s="34"/>
    </row>
    <row r="4370">
      <c r="B4370" s="34"/>
    </row>
    <row r="4371">
      <c r="B4371" s="34"/>
    </row>
    <row r="4372">
      <c r="B4372" s="34"/>
    </row>
    <row r="4373">
      <c r="B4373" s="34"/>
    </row>
    <row r="4374">
      <c r="B4374" s="34"/>
    </row>
    <row r="4375">
      <c r="B4375" s="34"/>
    </row>
    <row r="4376">
      <c r="B4376" s="34"/>
    </row>
    <row r="4377">
      <c r="B4377" s="34"/>
    </row>
    <row r="4378">
      <c r="B4378" s="34"/>
    </row>
    <row r="4379">
      <c r="B4379" s="34"/>
    </row>
    <row r="4380">
      <c r="B4380" s="34"/>
    </row>
    <row r="4381">
      <c r="B4381" s="34"/>
    </row>
    <row r="4382">
      <c r="B4382" s="34"/>
    </row>
    <row r="4383">
      <c r="B4383" s="34"/>
    </row>
    <row r="4384">
      <c r="B4384" s="34"/>
    </row>
    <row r="4385">
      <c r="B4385" s="34"/>
    </row>
    <row r="4386">
      <c r="B4386" s="34"/>
    </row>
    <row r="4387">
      <c r="B4387" s="34"/>
    </row>
    <row r="4388">
      <c r="B4388" s="34"/>
    </row>
    <row r="4389">
      <c r="B4389" s="34"/>
    </row>
    <row r="4390">
      <c r="B4390" s="34"/>
    </row>
    <row r="4391">
      <c r="B4391" s="34"/>
    </row>
    <row r="4392">
      <c r="B4392" s="34"/>
    </row>
    <row r="4393">
      <c r="B4393" s="34"/>
    </row>
    <row r="4394">
      <c r="B4394" s="34"/>
    </row>
    <row r="4395">
      <c r="B4395" s="34"/>
    </row>
    <row r="4396">
      <c r="B4396" s="34"/>
    </row>
    <row r="4397">
      <c r="B4397" s="34"/>
    </row>
    <row r="4398">
      <c r="B4398" s="34"/>
    </row>
    <row r="4399">
      <c r="B4399" s="34"/>
    </row>
    <row r="4400">
      <c r="B4400" s="34"/>
    </row>
    <row r="4401">
      <c r="B4401" s="34"/>
    </row>
    <row r="4402">
      <c r="B4402" s="34"/>
    </row>
    <row r="4403">
      <c r="B4403" s="34"/>
    </row>
    <row r="4404">
      <c r="B4404" s="34"/>
    </row>
    <row r="4405">
      <c r="B4405" s="34"/>
    </row>
    <row r="4406">
      <c r="B4406" s="34"/>
    </row>
    <row r="4407">
      <c r="B4407" s="34"/>
    </row>
    <row r="4408">
      <c r="B4408" s="34"/>
    </row>
    <row r="4409">
      <c r="B4409" s="34"/>
    </row>
    <row r="4410">
      <c r="B4410" s="34"/>
    </row>
    <row r="4411">
      <c r="B4411" s="34"/>
    </row>
    <row r="4412">
      <c r="B4412" s="34"/>
    </row>
    <row r="4413">
      <c r="B4413" s="34"/>
    </row>
    <row r="4414">
      <c r="B4414" s="34"/>
    </row>
    <row r="4415">
      <c r="B4415" s="34"/>
    </row>
    <row r="4416">
      <c r="B4416" s="34"/>
    </row>
    <row r="4417">
      <c r="B4417" s="34"/>
    </row>
    <row r="4418">
      <c r="B4418" s="34"/>
    </row>
    <row r="4419">
      <c r="B4419" s="34"/>
    </row>
    <row r="4420">
      <c r="B4420" s="34"/>
    </row>
    <row r="4421">
      <c r="B4421" s="34"/>
    </row>
    <row r="4422">
      <c r="B4422" s="34"/>
    </row>
    <row r="4423">
      <c r="B4423" s="34"/>
    </row>
    <row r="4424">
      <c r="B4424" s="34"/>
    </row>
    <row r="4425">
      <c r="B4425" s="34"/>
    </row>
    <row r="4426">
      <c r="B4426" s="34"/>
    </row>
    <row r="4427">
      <c r="B4427" s="34"/>
    </row>
    <row r="4428">
      <c r="B4428" s="34"/>
    </row>
    <row r="4429">
      <c r="B4429" s="34"/>
    </row>
    <row r="4430">
      <c r="B4430" s="34"/>
    </row>
    <row r="4431">
      <c r="B4431" s="34"/>
    </row>
    <row r="4432">
      <c r="B4432" s="34"/>
    </row>
    <row r="4433">
      <c r="B4433" s="34"/>
    </row>
    <row r="4434">
      <c r="B4434" s="34"/>
    </row>
    <row r="4435">
      <c r="B4435" s="34"/>
    </row>
    <row r="4436">
      <c r="B4436" s="34"/>
    </row>
    <row r="4437">
      <c r="B4437" s="34"/>
    </row>
    <row r="4438">
      <c r="B4438" s="34"/>
    </row>
    <row r="4439">
      <c r="B4439" s="34"/>
    </row>
    <row r="4440">
      <c r="B4440" s="34"/>
    </row>
    <row r="4441">
      <c r="B4441" s="34"/>
    </row>
    <row r="4442">
      <c r="B4442" s="34"/>
    </row>
    <row r="4443">
      <c r="B4443" s="34"/>
    </row>
    <row r="4444">
      <c r="B4444" s="34"/>
    </row>
    <row r="4445">
      <c r="B4445" s="34"/>
    </row>
    <row r="4446">
      <c r="B4446" s="34"/>
    </row>
    <row r="4447">
      <c r="B4447" s="34"/>
    </row>
    <row r="4448">
      <c r="B4448" s="34"/>
    </row>
    <row r="4449">
      <c r="B4449" s="34"/>
    </row>
    <row r="4450">
      <c r="B4450" s="34"/>
    </row>
    <row r="4451">
      <c r="B4451" s="34"/>
    </row>
    <row r="4452">
      <c r="B4452" s="34"/>
    </row>
    <row r="4453">
      <c r="B4453" s="34"/>
    </row>
    <row r="4454">
      <c r="B4454" s="34"/>
    </row>
    <row r="4455">
      <c r="B4455" s="34"/>
    </row>
    <row r="4456">
      <c r="B4456" s="34"/>
    </row>
    <row r="4457">
      <c r="B4457" s="34"/>
    </row>
    <row r="4458">
      <c r="B4458" s="34"/>
    </row>
    <row r="4459">
      <c r="B4459" s="34"/>
    </row>
    <row r="4460">
      <c r="B4460" s="34"/>
    </row>
    <row r="4461">
      <c r="B4461" s="34"/>
    </row>
    <row r="4462">
      <c r="B4462" s="34"/>
    </row>
    <row r="4463">
      <c r="B4463" s="34"/>
    </row>
    <row r="4464">
      <c r="B4464" s="34"/>
    </row>
    <row r="4465">
      <c r="B4465" s="34"/>
    </row>
    <row r="4466">
      <c r="B4466" s="34"/>
    </row>
    <row r="4467">
      <c r="B4467" s="34"/>
    </row>
    <row r="4468">
      <c r="B4468" s="34"/>
    </row>
    <row r="4469">
      <c r="B4469" s="34"/>
    </row>
    <row r="4470">
      <c r="B4470" s="34"/>
    </row>
    <row r="4471">
      <c r="B4471" s="34"/>
    </row>
    <row r="4472">
      <c r="B4472" s="34"/>
    </row>
    <row r="4473">
      <c r="B4473" s="34"/>
    </row>
    <row r="4474">
      <c r="B4474" s="34"/>
    </row>
    <row r="4475">
      <c r="B4475" s="34"/>
    </row>
    <row r="4476">
      <c r="B4476" s="34"/>
    </row>
    <row r="4477">
      <c r="B4477" s="34"/>
    </row>
    <row r="4478">
      <c r="B4478" s="34"/>
    </row>
    <row r="4479">
      <c r="B4479" s="34"/>
    </row>
    <row r="4480">
      <c r="B4480" s="34"/>
    </row>
    <row r="4481">
      <c r="B4481" s="34"/>
    </row>
    <row r="4482">
      <c r="B4482" s="34"/>
    </row>
    <row r="4483">
      <c r="B4483" s="34"/>
    </row>
    <row r="4484">
      <c r="B4484" s="34"/>
    </row>
    <row r="4485">
      <c r="B4485" s="34"/>
    </row>
    <row r="4486">
      <c r="B4486" s="34"/>
    </row>
    <row r="4487">
      <c r="B4487" s="34"/>
    </row>
    <row r="4488">
      <c r="B4488" s="34"/>
    </row>
    <row r="4489">
      <c r="B4489" s="34"/>
    </row>
    <row r="4490">
      <c r="B4490" s="34"/>
    </row>
    <row r="4491">
      <c r="B4491" s="34"/>
    </row>
    <row r="4492">
      <c r="B4492" s="34"/>
    </row>
    <row r="4493">
      <c r="B4493" s="34"/>
    </row>
    <row r="4494">
      <c r="B4494" s="34"/>
    </row>
    <row r="4495">
      <c r="B4495" s="34"/>
    </row>
    <row r="4496">
      <c r="B4496" s="34"/>
    </row>
    <row r="4497">
      <c r="B4497" s="34"/>
    </row>
    <row r="4498">
      <c r="B4498" s="34"/>
    </row>
    <row r="4499">
      <c r="B4499" s="34"/>
    </row>
    <row r="4500">
      <c r="B4500" s="34"/>
    </row>
    <row r="4501">
      <c r="B4501" s="34"/>
    </row>
    <row r="4502">
      <c r="B4502" s="34"/>
    </row>
    <row r="4503">
      <c r="B4503" s="34"/>
    </row>
    <row r="4504">
      <c r="B4504" s="34"/>
    </row>
    <row r="4505">
      <c r="B4505" s="34"/>
    </row>
    <row r="4506">
      <c r="B4506" s="34"/>
    </row>
    <row r="4507">
      <c r="B4507" s="34"/>
    </row>
    <row r="4508">
      <c r="B4508" s="34"/>
    </row>
    <row r="4509">
      <c r="B4509" s="34"/>
    </row>
    <row r="4510">
      <c r="B4510" s="34"/>
    </row>
    <row r="4511">
      <c r="B4511" s="34"/>
    </row>
    <row r="4512">
      <c r="B4512" s="34"/>
    </row>
    <row r="4513">
      <c r="B4513" s="34"/>
    </row>
    <row r="4514">
      <c r="B4514" s="34"/>
    </row>
    <row r="4515">
      <c r="B4515" s="34"/>
    </row>
    <row r="4516">
      <c r="B4516" s="34"/>
    </row>
    <row r="4517">
      <c r="B4517" s="34"/>
    </row>
    <row r="4518">
      <c r="B4518" s="34"/>
    </row>
    <row r="4519">
      <c r="B4519" s="34"/>
    </row>
    <row r="4520">
      <c r="B4520" s="34"/>
    </row>
    <row r="4521">
      <c r="B4521" s="34"/>
    </row>
    <row r="4522">
      <c r="B4522" s="34"/>
    </row>
    <row r="4523">
      <c r="B4523" s="34"/>
    </row>
    <row r="4524">
      <c r="B4524" s="34"/>
    </row>
    <row r="4525">
      <c r="B4525" s="34"/>
    </row>
    <row r="4526">
      <c r="B4526" s="34"/>
    </row>
    <row r="4527">
      <c r="B4527" s="34"/>
    </row>
    <row r="4528">
      <c r="B4528" s="34"/>
    </row>
    <row r="4529">
      <c r="B4529" s="34"/>
    </row>
    <row r="4530">
      <c r="B4530" s="34"/>
    </row>
    <row r="4531">
      <c r="B4531" s="34"/>
    </row>
    <row r="4532">
      <c r="B4532" s="34"/>
    </row>
    <row r="4533">
      <c r="B4533" s="34"/>
    </row>
    <row r="4534">
      <c r="B4534" s="34"/>
    </row>
    <row r="4535">
      <c r="B4535" s="34"/>
    </row>
    <row r="4536">
      <c r="B4536" s="34"/>
    </row>
    <row r="4537">
      <c r="B4537" s="34"/>
    </row>
    <row r="4538">
      <c r="B4538" s="34"/>
    </row>
    <row r="4539">
      <c r="B4539" s="34"/>
    </row>
    <row r="4540">
      <c r="B4540" s="34"/>
    </row>
    <row r="4541">
      <c r="B4541" s="34"/>
    </row>
    <row r="4542">
      <c r="B4542" s="34"/>
    </row>
    <row r="4543">
      <c r="B4543" s="34"/>
    </row>
    <row r="4544">
      <c r="B4544" s="34"/>
    </row>
    <row r="4545">
      <c r="B4545" s="34"/>
    </row>
    <row r="4546">
      <c r="B4546" s="34"/>
    </row>
    <row r="4547">
      <c r="B4547" s="34"/>
    </row>
    <row r="4548">
      <c r="B4548" s="34"/>
    </row>
    <row r="4549">
      <c r="B4549" s="34"/>
    </row>
    <row r="4550">
      <c r="B4550" s="34"/>
    </row>
    <row r="4551">
      <c r="B4551" s="34"/>
    </row>
    <row r="4552">
      <c r="B4552" s="34"/>
    </row>
    <row r="4553">
      <c r="B4553" s="34"/>
    </row>
    <row r="4554">
      <c r="B4554" s="34"/>
    </row>
    <row r="4555">
      <c r="B4555" s="34"/>
    </row>
    <row r="4556">
      <c r="B4556" s="34"/>
    </row>
    <row r="4557">
      <c r="B4557" s="34"/>
    </row>
    <row r="4558">
      <c r="B4558" s="34"/>
    </row>
    <row r="4559">
      <c r="B4559" s="34"/>
    </row>
    <row r="4560">
      <c r="B4560" s="34"/>
    </row>
    <row r="4561">
      <c r="B4561" s="34"/>
    </row>
    <row r="4562">
      <c r="B4562" s="34"/>
    </row>
    <row r="4563">
      <c r="B4563" s="34"/>
    </row>
    <row r="4564">
      <c r="B4564" s="34"/>
    </row>
    <row r="4565">
      <c r="B4565" s="34"/>
    </row>
    <row r="4566">
      <c r="B4566" s="34"/>
    </row>
    <row r="4567">
      <c r="B4567" s="34"/>
    </row>
    <row r="4568">
      <c r="B4568" s="34"/>
    </row>
    <row r="4569">
      <c r="B4569" s="34"/>
    </row>
    <row r="4570">
      <c r="B4570" s="34"/>
    </row>
    <row r="4571">
      <c r="B4571" s="34"/>
    </row>
    <row r="4572">
      <c r="B4572" s="34"/>
    </row>
    <row r="4573">
      <c r="B4573" s="34"/>
    </row>
    <row r="4574">
      <c r="B4574" s="34"/>
    </row>
    <row r="4575">
      <c r="B4575" s="34"/>
    </row>
    <row r="4576">
      <c r="B4576" s="34"/>
    </row>
    <row r="4577">
      <c r="B4577" s="34"/>
    </row>
    <row r="4578">
      <c r="B4578" s="34"/>
    </row>
    <row r="4579">
      <c r="B4579" s="34"/>
    </row>
    <row r="4580">
      <c r="B4580" s="34"/>
    </row>
    <row r="4581">
      <c r="B4581" s="34"/>
    </row>
    <row r="4582">
      <c r="B4582" s="34"/>
    </row>
    <row r="4583">
      <c r="B4583" s="34"/>
    </row>
    <row r="4584">
      <c r="B4584" s="34"/>
    </row>
    <row r="4585">
      <c r="B4585" s="34"/>
    </row>
    <row r="4586">
      <c r="B4586" s="34"/>
    </row>
    <row r="4587">
      <c r="B4587" s="34"/>
    </row>
    <row r="4588">
      <c r="B4588" s="34"/>
    </row>
    <row r="4589">
      <c r="B4589" s="34"/>
    </row>
    <row r="4590">
      <c r="B4590" s="34"/>
    </row>
    <row r="4591">
      <c r="B4591" s="34"/>
    </row>
    <row r="4592">
      <c r="B4592" s="34"/>
    </row>
    <row r="4593">
      <c r="B4593" s="34"/>
    </row>
    <row r="4594">
      <c r="B4594" s="34"/>
    </row>
    <row r="4595">
      <c r="B4595" s="34"/>
    </row>
    <row r="4596">
      <c r="B4596" s="34"/>
    </row>
    <row r="4597">
      <c r="B4597" s="34"/>
    </row>
    <row r="4598">
      <c r="B4598" s="34"/>
    </row>
    <row r="4599">
      <c r="B4599" s="34"/>
    </row>
    <row r="4600">
      <c r="B4600" s="34"/>
    </row>
    <row r="4601">
      <c r="B4601" s="34"/>
    </row>
    <row r="4602">
      <c r="B4602" s="34"/>
    </row>
    <row r="4603">
      <c r="B4603" s="34"/>
    </row>
    <row r="4604">
      <c r="B4604" s="34"/>
    </row>
    <row r="4605">
      <c r="B4605" s="34"/>
    </row>
    <row r="4606">
      <c r="B4606" s="34"/>
    </row>
    <row r="4607">
      <c r="B4607" s="34"/>
    </row>
    <row r="4608">
      <c r="B4608" s="34"/>
    </row>
    <row r="4609">
      <c r="B4609" s="34"/>
    </row>
    <row r="4610">
      <c r="B4610" s="34"/>
    </row>
    <row r="4611">
      <c r="B4611" s="34"/>
    </row>
    <row r="4612">
      <c r="B4612" s="34"/>
    </row>
    <row r="4613">
      <c r="B4613" s="34"/>
    </row>
    <row r="4614">
      <c r="B4614" s="34"/>
    </row>
    <row r="4615">
      <c r="B4615" s="34"/>
    </row>
    <row r="4616">
      <c r="B4616" s="34"/>
    </row>
    <row r="4617">
      <c r="B4617" s="34"/>
    </row>
    <row r="4618">
      <c r="B4618" s="34"/>
    </row>
    <row r="4619">
      <c r="B4619" s="34"/>
    </row>
    <row r="4620">
      <c r="B4620" s="34"/>
    </row>
    <row r="4621">
      <c r="B4621" s="34"/>
    </row>
    <row r="4622">
      <c r="B4622" s="34"/>
    </row>
    <row r="4623">
      <c r="B4623" s="34"/>
    </row>
    <row r="4624">
      <c r="B4624" s="34"/>
    </row>
    <row r="4625">
      <c r="B4625" s="34"/>
    </row>
    <row r="4626">
      <c r="B4626" s="34"/>
    </row>
    <row r="4627">
      <c r="B4627" s="34"/>
    </row>
    <row r="4628">
      <c r="B4628" s="34"/>
    </row>
    <row r="4629">
      <c r="B4629" s="34"/>
    </row>
    <row r="4630">
      <c r="B4630" s="34"/>
    </row>
    <row r="4631">
      <c r="B4631" s="34"/>
    </row>
    <row r="4632">
      <c r="B4632" s="34"/>
    </row>
    <row r="4633">
      <c r="B4633" s="34"/>
    </row>
    <row r="4634">
      <c r="B4634" s="34"/>
    </row>
    <row r="4635">
      <c r="B4635" s="34"/>
    </row>
    <row r="4636">
      <c r="B4636" s="34"/>
    </row>
    <row r="4637">
      <c r="B4637" s="34"/>
    </row>
    <row r="4638">
      <c r="B4638" s="34"/>
    </row>
    <row r="4639">
      <c r="B4639" s="34"/>
    </row>
    <row r="4640">
      <c r="B4640" s="34"/>
    </row>
    <row r="4641">
      <c r="B4641" s="34"/>
    </row>
    <row r="4642">
      <c r="B4642" s="34"/>
    </row>
    <row r="4643">
      <c r="B4643" s="34"/>
    </row>
    <row r="4644">
      <c r="B4644" s="34"/>
    </row>
    <row r="4645">
      <c r="B4645" s="34"/>
    </row>
    <row r="4646">
      <c r="B4646" s="34"/>
    </row>
    <row r="4647">
      <c r="B4647" s="34"/>
    </row>
    <row r="4648">
      <c r="B4648" s="34"/>
    </row>
    <row r="4649">
      <c r="B4649" s="34"/>
    </row>
    <row r="4650">
      <c r="B4650" s="34"/>
    </row>
    <row r="4651">
      <c r="B4651" s="34"/>
    </row>
    <row r="4652">
      <c r="B4652" s="34"/>
    </row>
    <row r="4653">
      <c r="B4653" s="34"/>
    </row>
    <row r="4654">
      <c r="B4654" s="34"/>
    </row>
    <row r="4655">
      <c r="B4655" s="34"/>
    </row>
    <row r="4656">
      <c r="B4656" s="34"/>
    </row>
    <row r="4657">
      <c r="B4657" s="34"/>
    </row>
    <row r="4658">
      <c r="B4658" s="34"/>
    </row>
    <row r="4659">
      <c r="B4659" s="34"/>
    </row>
    <row r="4660">
      <c r="B4660" s="34"/>
    </row>
    <row r="4661">
      <c r="B4661" s="34"/>
    </row>
    <row r="4662">
      <c r="B4662" s="34"/>
    </row>
    <row r="4663">
      <c r="B4663" s="34"/>
    </row>
    <row r="4664">
      <c r="B4664" s="34"/>
    </row>
    <row r="4665">
      <c r="B4665" s="34"/>
    </row>
    <row r="4666">
      <c r="B4666" s="34"/>
    </row>
    <row r="4667">
      <c r="B4667" s="34"/>
    </row>
    <row r="4668">
      <c r="B4668" s="34"/>
    </row>
    <row r="4669">
      <c r="B4669" s="34"/>
    </row>
    <row r="4670">
      <c r="B4670" s="34"/>
    </row>
    <row r="4671">
      <c r="B4671" s="34"/>
    </row>
    <row r="4672">
      <c r="B4672" s="34"/>
    </row>
    <row r="4673">
      <c r="B4673" s="34"/>
    </row>
    <row r="4674">
      <c r="B4674" s="34"/>
    </row>
    <row r="4675">
      <c r="B4675" s="34"/>
    </row>
    <row r="4676">
      <c r="B4676" s="34"/>
    </row>
    <row r="4677">
      <c r="B4677" s="34"/>
    </row>
    <row r="4678">
      <c r="B4678" s="34"/>
    </row>
    <row r="4679">
      <c r="B4679" s="34"/>
    </row>
    <row r="4680">
      <c r="B4680" s="34"/>
    </row>
    <row r="4681">
      <c r="B4681" s="34"/>
    </row>
    <row r="4682">
      <c r="B4682" s="34"/>
    </row>
    <row r="4683">
      <c r="B4683" s="34"/>
    </row>
    <row r="4684">
      <c r="B4684" s="34"/>
    </row>
    <row r="4685">
      <c r="B4685" s="34"/>
    </row>
    <row r="4686">
      <c r="B4686" s="34"/>
    </row>
    <row r="4687">
      <c r="B4687" s="34"/>
    </row>
    <row r="4688">
      <c r="B4688" s="34"/>
    </row>
    <row r="4689">
      <c r="B4689" s="34"/>
    </row>
    <row r="4690">
      <c r="B4690" s="34"/>
    </row>
    <row r="4691">
      <c r="B4691" s="34"/>
    </row>
    <row r="4692">
      <c r="B4692" s="34"/>
    </row>
    <row r="4693">
      <c r="B4693" s="34"/>
    </row>
    <row r="4694">
      <c r="B4694" s="34"/>
    </row>
    <row r="4695">
      <c r="B4695" s="34"/>
    </row>
    <row r="4696">
      <c r="B4696" s="34"/>
    </row>
    <row r="4697">
      <c r="B4697" s="34"/>
    </row>
    <row r="4698">
      <c r="B4698" s="34"/>
    </row>
    <row r="4699">
      <c r="B4699" s="34"/>
    </row>
    <row r="4700">
      <c r="B4700" s="34"/>
    </row>
    <row r="4701">
      <c r="B4701" s="34"/>
    </row>
    <row r="4702">
      <c r="B4702" s="34"/>
    </row>
    <row r="4703">
      <c r="B4703" s="34"/>
    </row>
    <row r="4704">
      <c r="B4704" s="34"/>
    </row>
    <row r="4705">
      <c r="B4705" s="34"/>
    </row>
    <row r="4706">
      <c r="B4706" s="34"/>
    </row>
    <row r="4707">
      <c r="B4707" s="34"/>
    </row>
    <row r="4708">
      <c r="B4708" s="34"/>
    </row>
    <row r="4709">
      <c r="B4709" s="34"/>
    </row>
    <row r="4710">
      <c r="B4710" s="34"/>
    </row>
    <row r="4711">
      <c r="B4711" s="34"/>
    </row>
    <row r="4712">
      <c r="B4712" s="34"/>
    </row>
    <row r="4713">
      <c r="B4713" s="34"/>
    </row>
    <row r="4714">
      <c r="B4714" s="34"/>
    </row>
    <row r="4715">
      <c r="B4715" s="34"/>
    </row>
    <row r="4716">
      <c r="B4716" s="34"/>
    </row>
    <row r="4717">
      <c r="B4717" s="34"/>
    </row>
    <row r="4718">
      <c r="B4718" s="34"/>
    </row>
    <row r="4719">
      <c r="B4719" s="34"/>
    </row>
    <row r="4720">
      <c r="B4720" s="34"/>
    </row>
    <row r="4721">
      <c r="B4721" s="34"/>
    </row>
    <row r="4722">
      <c r="B4722" s="34"/>
    </row>
    <row r="4723">
      <c r="B4723" s="34"/>
    </row>
    <row r="4724">
      <c r="B4724" s="34"/>
    </row>
    <row r="4725">
      <c r="B4725" s="34"/>
    </row>
    <row r="4726">
      <c r="B4726" s="34"/>
    </row>
    <row r="4727">
      <c r="B4727" s="34"/>
    </row>
    <row r="4728">
      <c r="B4728" s="34"/>
    </row>
    <row r="4729">
      <c r="B4729" s="34"/>
    </row>
    <row r="4730">
      <c r="B4730" s="34"/>
    </row>
    <row r="4731">
      <c r="B4731" s="34"/>
    </row>
    <row r="4732">
      <c r="B4732" s="34"/>
    </row>
    <row r="4733">
      <c r="B4733" s="34"/>
    </row>
    <row r="4734">
      <c r="B4734" s="34"/>
    </row>
    <row r="4735">
      <c r="B4735" s="34"/>
    </row>
    <row r="4736">
      <c r="B4736" s="34"/>
    </row>
    <row r="4737">
      <c r="B4737" s="34"/>
    </row>
    <row r="4738">
      <c r="B4738" s="34"/>
    </row>
    <row r="4739">
      <c r="B4739" s="34"/>
    </row>
    <row r="4740">
      <c r="B4740" s="34"/>
    </row>
    <row r="4741">
      <c r="B4741" s="34"/>
    </row>
    <row r="4742">
      <c r="B4742" s="34"/>
    </row>
    <row r="4743">
      <c r="B4743" s="34"/>
    </row>
    <row r="4744">
      <c r="B4744" s="34"/>
    </row>
    <row r="4745">
      <c r="B4745" s="34"/>
    </row>
    <row r="4746">
      <c r="B4746" s="34"/>
    </row>
    <row r="4747">
      <c r="B4747" s="34"/>
    </row>
    <row r="4748">
      <c r="B4748" s="34"/>
    </row>
    <row r="4749">
      <c r="B4749" s="34"/>
    </row>
    <row r="4750">
      <c r="B4750" s="34"/>
    </row>
    <row r="4751">
      <c r="B4751" s="34"/>
    </row>
    <row r="4752">
      <c r="B4752" s="34"/>
    </row>
    <row r="4753">
      <c r="B4753" s="34"/>
    </row>
    <row r="4754">
      <c r="B4754" s="34"/>
    </row>
    <row r="4755">
      <c r="B4755" s="34"/>
    </row>
    <row r="4756">
      <c r="B4756" s="34"/>
    </row>
    <row r="4757">
      <c r="B4757" s="34"/>
    </row>
    <row r="4758">
      <c r="B4758" s="34"/>
    </row>
    <row r="4759">
      <c r="B4759" s="34"/>
    </row>
    <row r="4760">
      <c r="B4760" s="34"/>
    </row>
    <row r="4761">
      <c r="B4761" s="34"/>
    </row>
    <row r="4762">
      <c r="B4762" s="34"/>
    </row>
    <row r="4763">
      <c r="B4763" s="34"/>
    </row>
    <row r="4764">
      <c r="B4764" s="34"/>
    </row>
    <row r="4765">
      <c r="B4765" s="34"/>
    </row>
    <row r="4766">
      <c r="B4766" s="34"/>
    </row>
    <row r="4767">
      <c r="B4767" s="34"/>
    </row>
    <row r="4768">
      <c r="B4768" s="34"/>
    </row>
    <row r="4769">
      <c r="B4769" s="34"/>
    </row>
    <row r="4770">
      <c r="B4770" s="34"/>
    </row>
    <row r="4771">
      <c r="B4771" s="34"/>
    </row>
    <row r="4772">
      <c r="B4772" s="34"/>
    </row>
    <row r="4773">
      <c r="B4773" s="34"/>
    </row>
    <row r="4774">
      <c r="B4774" s="34"/>
    </row>
    <row r="4775">
      <c r="B4775" s="34"/>
    </row>
    <row r="4776">
      <c r="B4776" s="34"/>
    </row>
    <row r="4777">
      <c r="B4777" s="34"/>
    </row>
    <row r="4778">
      <c r="B4778" s="34"/>
    </row>
    <row r="4779">
      <c r="B4779" s="34"/>
    </row>
    <row r="4780">
      <c r="B4780" s="34"/>
    </row>
    <row r="4781">
      <c r="B4781" s="34"/>
    </row>
    <row r="4782">
      <c r="B4782" s="34"/>
    </row>
    <row r="4783">
      <c r="B4783" s="34"/>
    </row>
    <row r="4784">
      <c r="B4784" s="34"/>
    </row>
    <row r="4785">
      <c r="B4785" s="34"/>
    </row>
    <row r="4786">
      <c r="B4786" s="34"/>
    </row>
    <row r="4787">
      <c r="B4787" s="34"/>
    </row>
    <row r="4788">
      <c r="B4788" s="34"/>
    </row>
    <row r="4789">
      <c r="B4789" s="34"/>
    </row>
    <row r="4790">
      <c r="B4790" s="34"/>
    </row>
    <row r="4791">
      <c r="B4791" s="34"/>
    </row>
    <row r="4792">
      <c r="B4792" s="34"/>
    </row>
    <row r="4793">
      <c r="B4793" s="34"/>
    </row>
    <row r="4794">
      <c r="B4794" s="34"/>
    </row>
    <row r="4795">
      <c r="B4795" s="34"/>
    </row>
    <row r="4796">
      <c r="B4796" s="34"/>
    </row>
    <row r="4797">
      <c r="B4797" s="34"/>
    </row>
    <row r="4798">
      <c r="B4798" s="34"/>
    </row>
    <row r="4799">
      <c r="B4799" s="34"/>
    </row>
    <row r="4800">
      <c r="B4800" s="34"/>
    </row>
    <row r="4801">
      <c r="B4801" s="34"/>
    </row>
    <row r="4802">
      <c r="B4802" s="34"/>
    </row>
    <row r="4803">
      <c r="B4803" s="34"/>
    </row>
    <row r="4804">
      <c r="B4804" s="34"/>
    </row>
    <row r="4805">
      <c r="B4805" s="34"/>
    </row>
    <row r="4806">
      <c r="B4806" s="34"/>
    </row>
    <row r="4807">
      <c r="B4807" s="34"/>
    </row>
    <row r="4808">
      <c r="B4808" s="34"/>
    </row>
    <row r="4809">
      <c r="B4809" s="34"/>
    </row>
    <row r="4810">
      <c r="B4810" s="34"/>
    </row>
    <row r="4811">
      <c r="B4811" s="34"/>
    </row>
    <row r="4812">
      <c r="B4812" s="34"/>
    </row>
    <row r="4813">
      <c r="B4813" s="34"/>
    </row>
    <row r="4814">
      <c r="B4814" s="34"/>
    </row>
    <row r="4815">
      <c r="B4815" s="34"/>
    </row>
    <row r="4816">
      <c r="B4816" s="34"/>
    </row>
    <row r="4817">
      <c r="B4817" s="34"/>
    </row>
    <row r="4818">
      <c r="B4818" s="34"/>
    </row>
    <row r="4819">
      <c r="B4819" s="34"/>
    </row>
    <row r="4820">
      <c r="B4820" s="34"/>
    </row>
    <row r="4821">
      <c r="B4821" s="34"/>
    </row>
    <row r="4822">
      <c r="B4822" s="34"/>
    </row>
    <row r="4823">
      <c r="B4823" s="34"/>
    </row>
    <row r="4824">
      <c r="B4824" s="34"/>
    </row>
    <row r="4825">
      <c r="B4825" s="34"/>
    </row>
    <row r="4826">
      <c r="B4826" s="34"/>
    </row>
    <row r="4827">
      <c r="B4827" s="34"/>
    </row>
    <row r="4828">
      <c r="B4828" s="34"/>
    </row>
    <row r="4829">
      <c r="B4829" s="34"/>
    </row>
    <row r="4830">
      <c r="B4830" s="34"/>
    </row>
    <row r="4831">
      <c r="B4831" s="34"/>
    </row>
    <row r="4832">
      <c r="B4832" s="34"/>
    </row>
    <row r="4833">
      <c r="B4833" s="34"/>
    </row>
    <row r="4834">
      <c r="B4834" s="34"/>
    </row>
    <row r="4835">
      <c r="B4835" s="34"/>
    </row>
    <row r="4836">
      <c r="B4836" s="34"/>
    </row>
    <row r="4837">
      <c r="B4837" s="34"/>
    </row>
    <row r="4838">
      <c r="B4838" s="34"/>
    </row>
    <row r="4839">
      <c r="B4839" s="34"/>
    </row>
    <row r="4840">
      <c r="B4840" s="34"/>
    </row>
    <row r="4841">
      <c r="B4841" s="34"/>
    </row>
    <row r="4842">
      <c r="B4842" s="34"/>
    </row>
    <row r="4843">
      <c r="B4843" s="34"/>
    </row>
    <row r="4844">
      <c r="B4844" s="34"/>
    </row>
    <row r="4845">
      <c r="B4845" s="34"/>
    </row>
    <row r="4846">
      <c r="B4846" s="34"/>
    </row>
    <row r="4847">
      <c r="B4847" s="34"/>
    </row>
    <row r="4848">
      <c r="B4848" s="34"/>
    </row>
    <row r="4849">
      <c r="B4849" s="34"/>
    </row>
    <row r="4850">
      <c r="B4850" s="34"/>
    </row>
    <row r="4851">
      <c r="B4851" s="34"/>
    </row>
    <row r="4852">
      <c r="B4852" s="34"/>
    </row>
    <row r="4853">
      <c r="B4853" s="34"/>
    </row>
    <row r="4854">
      <c r="B4854" s="34"/>
    </row>
    <row r="4855">
      <c r="B4855" s="34"/>
    </row>
    <row r="4856">
      <c r="B4856" s="34"/>
    </row>
    <row r="4857">
      <c r="B4857" s="34"/>
    </row>
    <row r="4858">
      <c r="B4858" s="34"/>
    </row>
    <row r="4859">
      <c r="B4859" s="34"/>
    </row>
    <row r="4860">
      <c r="B4860" s="34"/>
    </row>
    <row r="4861">
      <c r="B4861" s="34"/>
    </row>
    <row r="4862">
      <c r="B4862" s="34"/>
    </row>
    <row r="4863">
      <c r="B4863" s="34"/>
    </row>
    <row r="4864">
      <c r="B4864" s="34"/>
    </row>
    <row r="4865">
      <c r="B4865" s="34"/>
    </row>
    <row r="4866">
      <c r="B4866" s="34"/>
    </row>
    <row r="4867">
      <c r="B4867" s="34"/>
    </row>
    <row r="4868">
      <c r="B4868" s="34"/>
    </row>
    <row r="4869">
      <c r="B4869" s="34"/>
    </row>
    <row r="4870">
      <c r="B4870" s="34"/>
    </row>
    <row r="4871">
      <c r="B4871" s="34"/>
    </row>
    <row r="4872">
      <c r="B4872" s="34"/>
    </row>
    <row r="4873">
      <c r="B4873" s="34"/>
    </row>
    <row r="4874">
      <c r="B4874" s="34"/>
    </row>
    <row r="4875">
      <c r="B4875" s="34"/>
    </row>
    <row r="4876">
      <c r="B4876" s="34"/>
    </row>
    <row r="4877">
      <c r="B4877" s="34"/>
    </row>
    <row r="4878">
      <c r="B4878" s="34"/>
    </row>
    <row r="4879">
      <c r="B4879" s="34"/>
    </row>
    <row r="4880">
      <c r="B4880" s="34"/>
    </row>
    <row r="4881">
      <c r="B4881" s="34"/>
    </row>
    <row r="4882">
      <c r="B4882" s="34"/>
    </row>
    <row r="4883">
      <c r="B4883" s="34"/>
    </row>
    <row r="4884">
      <c r="B4884" s="34"/>
    </row>
    <row r="4885">
      <c r="B4885" s="34"/>
    </row>
    <row r="4886">
      <c r="B4886" s="34"/>
    </row>
    <row r="4887">
      <c r="B4887" s="34"/>
    </row>
    <row r="4888">
      <c r="B4888" s="34"/>
    </row>
    <row r="4889">
      <c r="B4889" s="34"/>
    </row>
    <row r="4890">
      <c r="B4890" s="34"/>
    </row>
    <row r="4891">
      <c r="B4891" s="34"/>
    </row>
    <row r="4892">
      <c r="B4892" s="34"/>
    </row>
    <row r="4893">
      <c r="B4893" s="34"/>
    </row>
    <row r="4894">
      <c r="B4894" s="34"/>
    </row>
    <row r="4895">
      <c r="B4895" s="34"/>
    </row>
    <row r="4896">
      <c r="B4896" s="34"/>
    </row>
    <row r="4897">
      <c r="B4897" s="34"/>
    </row>
    <row r="4898">
      <c r="B4898" s="34"/>
    </row>
    <row r="4899">
      <c r="B4899" s="34"/>
    </row>
    <row r="4900">
      <c r="B4900" s="34"/>
    </row>
    <row r="4901">
      <c r="B4901" s="34"/>
    </row>
    <row r="4902">
      <c r="B4902" s="34"/>
    </row>
    <row r="4903">
      <c r="B4903" s="34"/>
    </row>
    <row r="4904">
      <c r="B4904" s="34"/>
    </row>
    <row r="4905">
      <c r="B4905" s="34"/>
    </row>
    <row r="4906">
      <c r="B4906" s="34"/>
    </row>
    <row r="4907">
      <c r="B4907" s="34"/>
    </row>
    <row r="4908">
      <c r="B4908" s="34"/>
    </row>
    <row r="4909">
      <c r="B4909" s="34"/>
    </row>
    <row r="4910">
      <c r="B4910" s="34"/>
    </row>
    <row r="4911">
      <c r="B4911" s="34"/>
    </row>
    <row r="4912">
      <c r="B4912" s="34"/>
    </row>
    <row r="4913">
      <c r="B4913" s="34"/>
    </row>
    <row r="4914">
      <c r="B4914" s="34"/>
    </row>
    <row r="4915">
      <c r="B4915" s="34"/>
    </row>
    <row r="4916">
      <c r="B4916" s="34"/>
    </row>
    <row r="4917">
      <c r="B4917" s="34"/>
    </row>
    <row r="4918">
      <c r="B4918" s="34"/>
    </row>
    <row r="4919">
      <c r="B4919" s="34"/>
    </row>
    <row r="4920">
      <c r="B4920" s="34"/>
    </row>
    <row r="4921">
      <c r="B4921" s="34"/>
    </row>
    <row r="4922">
      <c r="B4922" s="34"/>
    </row>
    <row r="4923">
      <c r="B4923" s="34"/>
    </row>
    <row r="4924">
      <c r="B4924" s="34"/>
    </row>
    <row r="4925">
      <c r="B4925" s="34"/>
    </row>
    <row r="4926">
      <c r="B4926" s="34"/>
    </row>
    <row r="4927">
      <c r="B4927" s="34"/>
    </row>
    <row r="4928">
      <c r="B4928" s="34"/>
    </row>
    <row r="4929">
      <c r="B4929" s="34"/>
    </row>
    <row r="4930">
      <c r="B4930" s="34"/>
    </row>
    <row r="4931">
      <c r="B4931" s="34"/>
    </row>
    <row r="4932">
      <c r="B4932" s="34"/>
    </row>
    <row r="4933">
      <c r="B4933" s="34"/>
    </row>
    <row r="4934">
      <c r="B4934" s="34"/>
    </row>
    <row r="4935">
      <c r="B4935" s="34"/>
    </row>
    <row r="4936">
      <c r="B4936" s="34"/>
    </row>
    <row r="4937">
      <c r="B4937" s="34"/>
    </row>
    <row r="4938">
      <c r="B4938" s="34"/>
    </row>
    <row r="4939">
      <c r="B4939" s="34"/>
    </row>
    <row r="4940">
      <c r="B4940" s="34"/>
    </row>
    <row r="4941">
      <c r="B4941" s="34"/>
    </row>
    <row r="4942">
      <c r="B4942" s="34"/>
    </row>
    <row r="4943">
      <c r="B4943" s="34"/>
    </row>
    <row r="4944">
      <c r="B4944" s="34"/>
    </row>
    <row r="4945">
      <c r="B4945" s="34"/>
    </row>
    <row r="4946">
      <c r="B4946" s="34"/>
    </row>
    <row r="4947">
      <c r="B4947" s="34"/>
    </row>
    <row r="4948">
      <c r="B4948" s="34"/>
    </row>
    <row r="4949">
      <c r="B4949" s="34"/>
    </row>
    <row r="4950">
      <c r="B4950" s="34"/>
    </row>
    <row r="4951">
      <c r="B4951" s="34"/>
    </row>
    <row r="4952">
      <c r="B4952" s="34"/>
    </row>
    <row r="4953">
      <c r="B4953" s="34"/>
    </row>
    <row r="4954">
      <c r="B4954" s="34"/>
    </row>
    <row r="4955">
      <c r="B4955" s="34"/>
    </row>
    <row r="4956">
      <c r="B4956" s="34"/>
    </row>
    <row r="4957">
      <c r="B4957" s="34"/>
    </row>
    <row r="4958">
      <c r="B4958" s="34"/>
    </row>
    <row r="4959">
      <c r="B4959" s="34"/>
    </row>
    <row r="4960">
      <c r="B4960" s="34"/>
    </row>
    <row r="4961">
      <c r="B4961" s="34"/>
    </row>
    <row r="4962">
      <c r="B4962" s="34"/>
    </row>
    <row r="4963">
      <c r="B4963" s="34"/>
    </row>
    <row r="4964">
      <c r="B4964" s="34"/>
    </row>
    <row r="4965">
      <c r="B4965" s="34"/>
    </row>
    <row r="4966">
      <c r="B4966" s="34"/>
    </row>
    <row r="4967">
      <c r="B4967" s="34"/>
    </row>
    <row r="4968">
      <c r="B4968" s="34"/>
    </row>
    <row r="4969">
      <c r="B4969" s="34"/>
    </row>
    <row r="4970">
      <c r="B4970" s="34"/>
    </row>
    <row r="4971">
      <c r="B4971" s="34"/>
    </row>
    <row r="4972">
      <c r="B4972" s="34"/>
    </row>
    <row r="4973">
      <c r="B4973" s="34"/>
    </row>
    <row r="4974">
      <c r="B4974" s="34"/>
    </row>
    <row r="4975">
      <c r="B4975" s="34"/>
    </row>
    <row r="4976">
      <c r="B4976" s="34"/>
    </row>
    <row r="4977">
      <c r="B4977" s="34"/>
    </row>
    <row r="4978">
      <c r="B4978" s="34"/>
    </row>
    <row r="4979">
      <c r="B4979" s="34"/>
    </row>
    <row r="4980">
      <c r="B4980" s="34"/>
    </row>
    <row r="4981">
      <c r="B4981" s="34"/>
    </row>
    <row r="4982">
      <c r="B4982" s="34"/>
    </row>
    <row r="4983">
      <c r="B4983" s="34"/>
    </row>
    <row r="4984">
      <c r="B4984" s="34"/>
    </row>
    <row r="4985">
      <c r="B4985" s="34"/>
    </row>
    <row r="4986">
      <c r="B4986" s="34"/>
    </row>
    <row r="4987">
      <c r="B4987" s="34"/>
    </row>
    <row r="4988">
      <c r="B4988" s="34"/>
    </row>
    <row r="4989">
      <c r="B4989" s="34"/>
    </row>
    <row r="4990">
      <c r="B4990" s="34"/>
    </row>
    <row r="4991">
      <c r="B4991" s="34"/>
    </row>
    <row r="4992">
      <c r="B4992" s="34"/>
    </row>
    <row r="4993">
      <c r="B4993" s="34"/>
    </row>
    <row r="4994">
      <c r="B4994" s="34"/>
    </row>
    <row r="4995">
      <c r="B4995" s="34"/>
    </row>
    <row r="4996">
      <c r="B4996" s="34"/>
    </row>
    <row r="4997">
      <c r="B4997" s="34"/>
    </row>
    <row r="4998">
      <c r="B4998" s="34"/>
    </row>
    <row r="4999">
      <c r="B4999" s="34"/>
    </row>
    <row r="5000">
      <c r="B5000" s="34"/>
    </row>
    <row r="5001">
      <c r="B5001" s="34"/>
    </row>
    <row r="5002">
      <c r="B5002" s="34"/>
    </row>
    <row r="5003">
      <c r="B5003" s="34"/>
    </row>
    <row r="5004">
      <c r="B5004" s="34"/>
    </row>
    <row r="5005">
      <c r="B5005" s="34"/>
    </row>
    <row r="5006">
      <c r="B5006" s="34"/>
    </row>
    <row r="5007">
      <c r="B5007" s="34"/>
    </row>
    <row r="5008">
      <c r="B5008" s="34"/>
    </row>
    <row r="5009">
      <c r="B5009" s="34"/>
    </row>
    <row r="5010">
      <c r="B5010" s="34"/>
    </row>
    <row r="5011">
      <c r="B5011" s="34"/>
    </row>
    <row r="5012">
      <c r="B5012" s="34"/>
    </row>
    <row r="5013">
      <c r="B5013" s="34"/>
    </row>
    <row r="5014">
      <c r="B5014" s="34"/>
    </row>
    <row r="5015">
      <c r="B5015" s="34"/>
    </row>
    <row r="5016">
      <c r="B5016" s="34"/>
    </row>
    <row r="5017">
      <c r="B5017" s="34"/>
    </row>
    <row r="5018">
      <c r="B5018" s="34"/>
    </row>
    <row r="5019">
      <c r="B5019" s="34"/>
    </row>
    <row r="5020">
      <c r="B5020" s="34"/>
    </row>
    <row r="5021">
      <c r="B5021" s="34"/>
    </row>
    <row r="5022">
      <c r="B5022" s="34"/>
    </row>
    <row r="5023">
      <c r="B5023" s="34"/>
    </row>
    <row r="5024">
      <c r="B5024" s="34"/>
    </row>
    <row r="5025">
      <c r="B5025" s="34"/>
    </row>
    <row r="5026">
      <c r="B5026" s="34"/>
    </row>
    <row r="5027">
      <c r="B5027" s="34"/>
    </row>
    <row r="5028">
      <c r="B5028" s="34"/>
    </row>
    <row r="5029">
      <c r="B5029" s="34"/>
    </row>
    <row r="5030">
      <c r="B5030" s="34"/>
    </row>
    <row r="5031">
      <c r="B5031" s="34"/>
    </row>
    <row r="5032">
      <c r="B5032" s="34"/>
    </row>
    <row r="5033">
      <c r="B5033" s="34"/>
    </row>
    <row r="5034">
      <c r="B5034" s="34"/>
    </row>
    <row r="5035">
      <c r="B5035" s="34"/>
    </row>
    <row r="5036">
      <c r="B5036" s="34"/>
    </row>
    <row r="5037">
      <c r="B5037" s="34"/>
    </row>
    <row r="5038">
      <c r="B5038" s="34"/>
    </row>
    <row r="5039">
      <c r="B5039" s="34"/>
    </row>
    <row r="5040">
      <c r="B5040" s="34"/>
    </row>
    <row r="5041">
      <c r="B5041" s="34"/>
    </row>
    <row r="5042">
      <c r="B5042" s="34"/>
    </row>
    <row r="5043">
      <c r="B5043" s="34"/>
    </row>
    <row r="5044">
      <c r="B5044" s="34"/>
    </row>
    <row r="5045">
      <c r="B5045" s="34"/>
    </row>
    <row r="5046">
      <c r="B5046" s="34"/>
    </row>
    <row r="5047">
      <c r="B5047" s="34"/>
    </row>
    <row r="5048">
      <c r="B5048" s="34"/>
    </row>
    <row r="5049">
      <c r="B5049" s="34"/>
    </row>
    <row r="5050">
      <c r="B5050" s="34"/>
    </row>
    <row r="5051">
      <c r="B5051" s="34"/>
    </row>
    <row r="5052">
      <c r="B5052" s="34"/>
    </row>
    <row r="5053">
      <c r="B5053" s="34"/>
    </row>
    <row r="5054">
      <c r="B5054" s="34"/>
    </row>
    <row r="5055">
      <c r="B5055" s="34"/>
    </row>
    <row r="5056">
      <c r="B5056" s="34"/>
    </row>
    <row r="5057">
      <c r="B5057" s="34"/>
    </row>
    <row r="5058">
      <c r="B5058" s="34"/>
    </row>
    <row r="5059">
      <c r="B5059" s="34"/>
    </row>
    <row r="5060">
      <c r="B5060" s="34"/>
    </row>
    <row r="5061">
      <c r="B5061" s="34"/>
    </row>
    <row r="5062">
      <c r="B5062" s="34"/>
    </row>
    <row r="5063">
      <c r="B5063" s="34"/>
    </row>
    <row r="5064">
      <c r="B5064" s="34"/>
    </row>
    <row r="5065">
      <c r="B5065" s="34"/>
    </row>
    <row r="5066">
      <c r="B5066" s="34"/>
    </row>
    <row r="5067">
      <c r="B5067" s="34"/>
    </row>
    <row r="5068">
      <c r="B5068" s="34"/>
    </row>
    <row r="5069">
      <c r="B5069" s="34"/>
    </row>
    <row r="5070">
      <c r="B5070" s="34"/>
    </row>
    <row r="5071">
      <c r="B5071" s="34"/>
    </row>
    <row r="5072">
      <c r="B5072" s="34"/>
    </row>
    <row r="5073">
      <c r="B5073" s="34"/>
    </row>
    <row r="5074">
      <c r="B5074" s="34"/>
    </row>
    <row r="5075">
      <c r="B5075" s="34"/>
    </row>
    <row r="5076">
      <c r="B5076" s="34"/>
    </row>
    <row r="5077">
      <c r="B5077" s="34"/>
    </row>
    <row r="5078">
      <c r="B5078" s="34"/>
    </row>
    <row r="5079">
      <c r="B5079" s="34"/>
    </row>
    <row r="5080">
      <c r="B5080" s="34"/>
    </row>
    <row r="5081">
      <c r="B5081" s="34"/>
    </row>
    <row r="5082">
      <c r="B5082" s="34"/>
    </row>
    <row r="5083">
      <c r="B5083" s="34"/>
    </row>
    <row r="5084">
      <c r="B5084" s="34"/>
    </row>
    <row r="5085">
      <c r="B5085" s="34"/>
    </row>
    <row r="5086">
      <c r="B5086" s="34"/>
    </row>
    <row r="5087">
      <c r="B5087" s="34"/>
    </row>
    <row r="5088">
      <c r="B5088" s="34"/>
    </row>
    <row r="5089">
      <c r="B5089" s="34"/>
    </row>
    <row r="5090">
      <c r="B5090" s="34"/>
    </row>
    <row r="5091">
      <c r="B5091" s="34"/>
    </row>
    <row r="5092">
      <c r="B5092" s="34"/>
    </row>
    <row r="5093">
      <c r="B5093" s="34"/>
    </row>
    <row r="5094">
      <c r="B5094" s="34"/>
    </row>
    <row r="5095">
      <c r="B5095" s="34"/>
    </row>
    <row r="5096">
      <c r="B5096" s="34"/>
    </row>
    <row r="5097">
      <c r="B5097" s="34"/>
    </row>
    <row r="5098">
      <c r="B5098" s="34"/>
    </row>
    <row r="5099">
      <c r="B5099" s="34"/>
    </row>
    <row r="5100">
      <c r="B5100" s="34"/>
    </row>
    <row r="5101">
      <c r="B5101" s="34"/>
    </row>
    <row r="5102">
      <c r="B5102" s="34"/>
    </row>
    <row r="5103">
      <c r="B5103" s="34"/>
    </row>
    <row r="5104">
      <c r="B5104" s="34"/>
    </row>
    <row r="5105">
      <c r="B5105" s="34"/>
    </row>
    <row r="5106">
      <c r="B5106" s="34"/>
    </row>
    <row r="5107">
      <c r="B5107" s="34"/>
    </row>
    <row r="5108">
      <c r="B5108" s="34"/>
    </row>
    <row r="5109">
      <c r="B5109" s="34"/>
    </row>
    <row r="5110">
      <c r="B5110" s="34"/>
    </row>
    <row r="5111">
      <c r="B5111" s="34"/>
    </row>
    <row r="5112">
      <c r="B5112" s="34"/>
    </row>
    <row r="5113">
      <c r="B5113" s="34"/>
    </row>
    <row r="5114">
      <c r="B5114" s="34"/>
    </row>
    <row r="5115">
      <c r="B5115" s="34"/>
    </row>
    <row r="5116">
      <c r="B5116" s="34"/>
    </row>
    <row r="5117">
      <c r="B5117" s="34"/>
    </row>
    <row r="5118">
      <c r="B5118" s="34"/>
    </row>
    <row r="5119">
      <c r="B5119" s="34"/>
    </row>
    <row r="5120">
      <c r="B5120" s="34"/>
    </row>
    <row r="5121">
      <c r="B5121" s="34"/>
    </row>
    <row r="5122">
      <c r="B5122" s="34"/>
    </row>
    <row r="5123">
      <c r="B5123" s="34"/>
    </row>
    <row r="5124">
      <c r="B5124" s="34"/>
    </row>
    <row r="5125">
      <c r="B5125" s="34"/>
    </row>
    <row r="5126">
      <c r="B5126" s="34"/>
    </row>
    <row r="5127">
      <c r="B5127" s="34"/>
    </row>
    <row r="5128">
      <c r="B5128" s="34"/>
    </row>
    <row r="5129">
      <c r="B5129" s="34"/>
    </row>
    <row r="5130">
      <c r="B5130" s="34"/>
    </row>
    <row r="5131">
      <c r="B5131" s="34"/>
    </row>
    <row r="5132">
      <c r="B5132" s="34"/>
    </row>
    <row r="5133">
      <c r="B5133" s="34"/>
    </row>
    <row r="5134">
      <c r="B5134" s="34"/>
    </row>
    <row r="5135">
      <c r="B5135" s="34"/>
    </row>
    <row r="5136">
      <c r="B5136" s="34"/>
    </row>
    <row r="5137">
      <c r="B5137" s="34"/>
    </row>
    <row r="5138">
      <c r="B5138" s="34"/>
    </row>
    <row r="5139">
      <c r="B5139" s="34"/>
    </row>
    <row r="5140">
      <c r="B5140" s="34"/>
    </row>
    <row r="5141">
      <c r="B5141" s="34"/>
    </row>
    <row r="5142">
      <c r="B5142" s="34"/>
    </row>
    <row r="5143">
      <c r="B5143" s="34"/>
    </row>
    <row r="5144">
      <c r="B5144" s="34"/>
    </row>
    <row r="5145">
      <c r="B5145" s="34"/>
    </row>
    <row r="5146">
      <c r="B5146" s="34"/>
    </row>
    <row r="5147">
      <c r="B5147" s="34"/>
    </row>
    <row r="5148">
      <c r="B5148" s="34"/>
    </row>
    <row r="5149">
      <c r="B5149" s="34"/>
    </row>
    <row r="5150">
      <c r="B5150" s="34"/>
    </row>
    <row r="5151">
      <c r="B5151" s="34"/>
    </row>
    <row r="5152">
      <c r="B5152" s="34"/>
    </row>
    <row r="5153">
      <c r="B5153" s="34"/>
    </row>
    <row r="5154">
      <c r="B5154" s="34"/>
    </row>
    <row r="5155">
      <c r="B5155" s="34"/>
    </row>
    <row r="5156">
      <c r="B5156" s="34"/>
    </row>
    <row r="5157">
      <c r="B5157" s="34"/>
    </row>
    <row r="5158">
      <c r="B5158" s="34"/>
    </row>
    <row r="5159">
      <c r="B5159" s="34"/>
    </row>
    <row r="5160">
      <c r="B5160" s="34"/>
    </row>
    <row r="5161">
      <c r="B5161" s="34"/>
    </row>
    <row r="5162">
      <c r="B5162" s="34"/>
    </row>
    <row r="5163">
      <c r="B5163" s="34"/>
    </row>
    <row r="5164">
      <c r="B5164" s="34"/>
    </row>
    <row r="5165">
      <c r="B5165" s="34"/>
    </row>
    <row r="5166">
      <c r="B5166" s="34"/>
    </row>
    <row r="5167">
      <c r="B5167" s="34"/>
    </row>
    <row r="5168">
      <c r="B5168" s="34"/>
    </row>
    <row r="5169">
      <c r="B5169" s="34"/>
    </row>
    <row r="5170">
      <c r="B5170" s="34"/>
    </row>
    <row r="5171">
      <c r="B5171" s="34"/>
    </row>
    <row r="5172">
      <c r="B5172" s="34"/>
    </row>
    <row r="5173">
      <c r="B5173" s="34"/>
    </row>
    <row r="5174">
      <c r="B5174" s="34"/>
    </row>
    <row r="5175">
      <c r="B5175" s="34"/>
    </row>
    <row r="5176">
      <c r="B5176" s="34"/>
    </row>
    <row r="5177">
      <c r="B5177" s="34"/>
    </row>
    <row r="5178">
      <c r="B5178" s="34"/>
    </row>
    <row r="5179">
      <c r="B5179" s="34"/>
    </row>
    <row r="5180">
      <c r="B5180" s="34"/>
    </row>
    <row r="5181">
      <c r="B5181" s="34"/>
    </row>
    <row r="5182">
      <c r="B5182" s="34"/>
    </row>
    <row r="5183">
      <c r="B5183" s="34"/>
    </row>
    <row r="5184">
      <c r="B5184" s="34"/>
    </row>
    <row r="5185">
      <c r="B5185" s="34"/>
    </row>
    <row r="5186">
      <c r="B5186" s="34"/>
    </row>
    <row r="5187">
      <c r="B5187" s="34"/>
    </row>
    <row r="5188">
      <c r="B5188" s="34"/>
    </row>
    <row r="5189">
      <c r="B5189" s="34"/>
    </row>
    <row r="5190">
      <c r="B5190" s="34"/>
    </row>
    <row r="5191">
      <c r="B5191" s="34"/>
    </row>
    <row r="5192">
      <c r="B5192" s="34"/>
    </row>
    <row r="5193">
      <c r="B5193" s="34"/>
    </row>
    <row r="5194">
      <c r="B5194" s="34"/>
    </row>
    <row r="5195">
      <c r="B5195" s="34"/>
    </row>
    <row r="5196">
      <c r="B5196" s="34"/>
    </row>
    <row r="5197">
      <c r="B5197" s="34"/>
    </row>
    <row r="5198">
      <c r="B5198" s="34"/>
    </row>
    <row r="5199">
      <c r="B5199" s="34"/>
    </row>
    <row r="5200">
      <c r="B5200" s="34"/>
    </row>
    <row r="5201">
      <c r="B5201" s="34"/>
    </row>
    <row r="5202">
      <c r="B5202" s="34"/>
    </row>
    <row r="5203">
      <c r="B5203" s="34"/>
    </row>
    <row r="5204">
      <c r="B5204" s="34"/>
    </row>
    <row r="5205">
      <c r="B5205" s="34"/>
    </row>
    <row r="5206">
      <c r="B5206" s="34"/>
    </row>
    <row r="5207">
      <c r="B5207" s="34"/>
    </row>
    <row r="5208">
      <c r="B5208" s="34"/>
    </row>
    <row r="5209">
      <c r="B5209" s="34"/>
    </row>
    <row r="5210">
      <c r="B5210" s="34"/>
    </row>
    <row r="5211">
      <c r="B5211" s="34"/>
    </row>
    <row r="5212">
      <c r="B5212" s="34"/>
    </row>
    <row r="5213">
      <c r="B5213" s="34"/>
    </row>
    <row r="5214">
      <c r="B5214" s="34"/>
    </row>
    <row r="5215">
      <c r="B5215" s="34"/>
    </row>
    <row r="5216">
      <c r="B5216" s="34"/>
    </row>
    <row r="5217">
      <c r="B5217" s="34"/>
    </row>
    <row r="5218">
      <c r="B5218" s="34"/>
    </row>
    <row r="5219">
      <c r="B5219" s="34"/>
    </row>
    <row r="5220">
      <c r="B5220" s="34"/>
    </row>
    <row r="5221">
      <c r="B5221" s="34"/>
    </row>
    <row r="5222">
      <c r="B5222" s="34"/>
    </row>
    <row r="5223">
      <c r="B5223" s="34"/>
    </row>
    <row r="5224">
      <c r="B5224" s="34"/>
    </row>
    <row r="5225">
      <c r="B5225" s="34"/>
    </row>
    <row r="5226">
      <c r="B5226" s="34"/>
    </row>
    <row r="5227">
      <c r="B5227" s="34"/>
    </row>
    <row r="5228">
      <c r="B5228" s="34"/>
    </row>
    <row r="5229">
      <c r="B5229" s="34"/>
    </row>
    <row r="5230">
      <c r="B5230" s="34"/>
    </row>
    <row r="5231">
      <c r="B5231" s="34"/>
    </row>
    <row r="5232">
      <c r="B5232" s="34"/>
    </row>
    <row r="5233">
      <c r="B5233" s="34"/>
    </row>
    <row r="5234">
      <c r="B5234" s="34"/>
    </row>
    <row r="5235">
      <c r="B5235" s="34"/>
    </row>
    <row r="5236">
      <c r="B5236" s="34"/>
    </row>
    <row r="5237">
      <c r="B5237" s="34"/>
    </row>
    <row r="5238">
      <c r="B5238" s="34"/>
    </row>
    <row r="5239">
      <c r="B5239" s="34"/>
    </row>
    <row r="5240">
      <c r="B5240" s="34"/>
    </row>
    <row r="5241">
      <c r="B5241" s="34"/>
    </row>
    <row r="5242">
      <c r="B5242" s="34"/>
    </row>
    <row r="5243">
      <c r="B5243" s="34"/>
    </row>
    <row r="5244">
      <c r="B5244" s="34"/>
    </row>
    <row r="5245">
      <c r="B5245" s="34"/>
    </row>
    <row r="5246">
      <c r="B5246" s="34"/>
    </row>
    <row r="5247">
      <c r="B5247" s="34"/>
    </row>
    <row r="5248">
      <c r="B5248" s="34"/>
    </row>
    <row r="5249">
      <c r="B5249" s="34"/>
    </row>
    <row r="5250">
      <c r="B5250" s="34"/>
    </row>
    <row r="5251">
      <c r="B5251" s="34"/>
    </row>
    <row r="5252">
      <c r="B5252" s="34"/>
    </row>
    <row r="5253">
      <c r="B5253" s="34"/>
    </row>
    <row r="5254">
      <c r="B5254" s="34"/>
    </row>
    <row r="5255">
      <c r="B5255" s="34"/>
    </row>
    <row r="5256">
      <c r="B5256" s="34"/>
    </row>
    <row r="5257">
      <c r="B5257" s="34"/>
    </row>
    <row r="5258">
      <c r="B5258" s="34"/>
    </row>
    <row r="5259">
      <c r="B5259" s="34"/>
    </row>
    <row r="5260">
      <c r="B5260" s="34"/>
    </row>
    <row r="5261">
      <c r="B5261" s="34"/>
    </row>
    <row r="5262">
      <c r="B5262" s="34"/>
    </row>
    <row r="5263">
      <c r="B5263" s="34"/>
    </row>
    <row r="5264">
      <c r="B5264" s="34"/>
    </row>
    <row r="5265">
      <c r="B5265" s="34"/>
    </row>
    <row r="5266">
      <c r="B5266" s="34"/>
    </row>
    <row r="5267">
      <c r="B5267" s="34"/>
    </row>
    <row r="5268">
      <c r="B5268" s="34"/>
    </row>
    <row r="5269">
      <c r="B5269" s="34"/>
    </row>
    <row r="5270">
      <c r="B5270" s="34"/>
    </row>
    <row r="5271">
      <c r="B5271" s="34"/>
    </row>
    <row r="5272">
      <c r="B5272" s="34"/>
    </row>
    <row r="5273">
      <c r="B5273" s="34"/>
    </row>
    <row r="5274">
      <c r="B5274" s="34"/>
    </row>
    <row r="5275">
      <c r="B5275" s="34"/>
    </row>
    <row r="5276">
      <c r="B5276" s="34"/>
    </row>
    <row r="5277">
      <c r="B5277" s="34"/>
    </row>
    <row r="5278">
      <c r="B5278" s="34"/>
    </row>
    <row r="5279">
      <c r="B5279" s="34"/>
    </row>
    <row r="5280">
      <c r="B5280" s="34"/>
    </row>
    <row r="5281">
      <c r="B5281" s="34"/>
    </row>
    <row r="5282">
      <c r="B5282" s="34"/>
    </row>
    <row r="5283">
      <c r="B5283" s="34"/>
    </row>
    <row r="5284">
      <c r="B5284" s="34"/>
    </row>
    <row r="5285">
      <c r="B5285" s="34"/>
    </row>
    <row r="5286">
      <c r="B5286" s="34"/>
    </row>
    <row r="5287">
      <c r="B5287" s="34"/>
    </row>
    <row r="5288">
      <c r="B5288" s="34"/>
    </row>
    <row r="5289">
      <c r="B5289" s="34"/>
    </row>
    <row r="5290">
      <c r="B5290" s="34"/>
    </row>
    <row r="5291">
      <c r="B5291" s="34"/>
    </row>
    <row r="5292">
      <c r="B5292" s="34"/>
    </row>
    <row r="5293">
      <c r="B5293" s="34"/>
    </row>
    <row r="5294">
      <c r="B5294" s="34"/>
    </row>
    <row r="5295">
      <c r="B5295" s="34"/>
    </row>
    <row r="5296">
      <c r="B5296" s="34"/>
    </row>
    <row r="5297">
      <c r="B5297" s="34"/>
    </row>
    <row r="5298">
      <c r="B5298" s="34"/>
    </row>
    <row r="5299">
      <c r="B5299" s="34"/>
    </row>
    <row r="5300">
      <c r="B5300" s="34"/>
    </row>
    <row r="5301">
      <c r="B5301" s="34"/>
    </row>
    <row r="5302">
      <c r="B5302" s="34"/>
    </row>
    <row r="5303">
      <c r="B5303" s="34"/>
    </row>
    <row r="5304">
      <c r="B5304" s="34"/>
    </row>
    <row r="5305">
      <c r="B5305" s="34"/>
    </row>
    <row r="5306">
      <c r="B5306" s="34"/>
    </row>
    <row r="5307">
      <c r="B5307" s="34"/>
    </row>
    <row r="5308">
      <c r="B5308" s="34"/>
    </row>
    <row r="5309">
      <c r="B5309" s="34"/>
    </row>
    <row r="5310">
      <c r="B5310" s="34"/>
    </row>
    <row r="5311">
      <c r="B5311" s="34"/>
    </row>
    <row r="5312">
      <c r="B5312" s="34"/>
    </row>
    <row r="5313">
      <c r="B5313" s="34"/>
    </row>
    <row r="5314">
      <c r="B5314" s="34"/>
    </row>
    <row r="5315">
      <c r="B5315" s="34"/>
    </row>
    <row r="5316">
      <c r="B5316" s="34"/>
    </row>
    <row r="5317">
      <c r="B5317" s="34"/>
    </row>
    <row r="5318">
      <c r="B5318" s="34"/>
    </row>
    <row r="5319">
      <c r="B5319" s="34"/>
    </row>
    <row r="5320">
      <c r="B5320" s="34"/>
    </row>
    <row r="5321">
      <c r="B5321" s="34"/>
    </row>
    <row r="5322">
      <c r="B5322" s="34"/>
    </row>
    <row r="5323">
      <c r="B5323" s="34"/>
    </row>
    <row r="5324">
      <c r="B5324" s="34"/>
    </row>
    <row r="5325">
      <c r="B5325" s="34"/>
    </row>
    <row r="5326">
      <c r="B5326" s="34"/>
    </row>
    <row r="5327">
      <c r="B5327" s="34"/>
    </row>
    <row r="5328">
      <c r="B5328" s="34"/>
    </row>
    <row r="5329">
      <c r="B5329" s="34"/>
    </row>
    <row r="5330">
      <c r="B5330" s="34"/>
    </row>
    <row r="5331">
      <c r="B5331" s="34"/>
    </row>
    <row r="5332">
      <c r="B5332" s="34"/>
    </row>
    <row r="5333">
      <c r="B5333" s="34"/>
    </row>
    <row r="5334">
      <c r="B5334" s="34"/>
    </row>
    <row r="5335">
      <c r="B5335" s="34"/>
    </row>
    <row r="5336">
      <c r="B5336" s="34"/>
    </row>
    <row r="5337">
      <c r="B5337" s="34"/>
    </row>
    <row r="5338">
      <c r="B5338" s="34"/>
    </row>
    <row r="5339">
      <c r="B5339" s="34"/>
    </row>
    <row r="5340">
      <c r="B5340" s="34"/>
    </row>
    <row r="5341">
      <c r="B5341" s="34"/>
    </row>
    <row r="5342">
      <c r="B5342" s="34"/>
    </row>
    <row r="5343">
      <c r="B5343" s="34"/>
    </row>
    <row r="5344">
      <c r="B5344" s="34"/>
    </row>
    <row r="5345">
      <c r="B5345" s="34"/>
    </row>
    <row r="5346">
      <c r="B5346" s="34"/>
    </row>
    <row r="5347">
      <c r="B5347" s="34"/>
    </row>
    <row r="5348">
      <c r="B5348" s="34"/>
    </row>
    <row r="5349">
      <c r="B5349" s="34"/>
    </row>
    <row r="5350">
      <c r="B5350" s="34"/>
    </row>
    <row r="5351">
      <c r="B5351" s="34"/>
    </row>
    <row r="5352">
      <c r="B5352" s="34"/>
    </row>
    <row r="5353">
      <c r="B5353" s="34"/>
    </row>
    <row r="5354">
      <c r="B5354" s="34"/>
    </row>
    <row r="5355">
      <c r="B5355" s="34"/>
    </row>
    <row r="5356">
      <c r="B5356" s="34"/>
    </row>
    <row r="5357">
      <c r="B5357" s="34"/>
    </row>
    <row r="5358">
      <c r="B5358" s="34"/>
    </row>
    <row r="5359">
      <c r="B5359" s="34"/>
    </row>
    <row r="5360">
      <c r="B5360" s="34"/>
    </row>
    <row r="5361">
      <c r="B5361" s="34"/>
    </row>
    <row r="5362">
      <c r="B5362" s="34"/>
    </row>
    <row r="5363">
      <c r="B5363" s="34"/>
    </row>
    <row r="5364">
      <c r="B5364" s="34"/>
    </row>
    <row r="5365">
      <c r="B5365" s="34"/>
    </row>
    <row r="5366">
      <c r="B5366" s="34"/>
    </row>
    <row r="5367">
      <c r="B5367" s="34"/>
    </row>
    <row r="5368">
      <c r="B5368" s="34"/>
    </row>
    <row r="5369">
      <c r="B5369" s="34"/>
    </row>
    <row r="5370">
      <c r="B5370" s="34"/>
    </row>
    <row r="5371">
      <c r="B5371" s="34"/>
    </row>
    <row r="5372">
      <c r="B5372" s="34"/>
    </row>
    <row r="5373">
      <c r="B5373" s="34"/>
    </row>
    <row r="5374">
      <c r="B5374" s="34"/>
    </row>
    <row r="5375">
      <c r="B5375" s="34"/>
    </row>
    <row r="5376">
      <c r="B5376" s="34"/>
    </row>
    <row r="5377">
      <c r="B5377" s="34"/>
    </row>
    <row r="5378">
      <c r="B5378" s="34"/>
    </row>
    <row r="5379">
      <c r="B5379" s="34"/>
    </row>
    <row r="5380">
      <c r="B5380" s="34"/>
    </row>
    <row r="5381">
      <c r="B5381" s="34"/>
    </row>
    <row r="5382">
      <c r="B5382" s="34"/>
    </row>
    <row r="5383">
      <c r="B5383" s="34"/>
    </row>
    <row r="5384">
      <c r="B5384" s="34"/>
    </row>
    <row r="5385">
      <c r="B5385" s="34"/>
    </row>
    <row r="5386">
      <c r="B5386" s="34"/>
    </row>
    <row r="5387">
      <c r="B5387" s="34"/>
    </row>
    <row r="5388">
      <c r="B5388" s="34"/>
    </row>
    <row r="5389">
      <c r="B5389" s="34"/>
    </row>
    <row r="5390">
      <c r="B5390" s="34"/>
    </row>
    <row r="5391">
      <c r="B5391" s="34"/>
    </row>
    <row r="5392">
      <c r="B5392" s="34"/>
    </row>
    <row r="5393">
      <c r="B5393" s="34"/>
    </row>
    <row r="5394">
      <c r="B5394" s="34"/>
    </row>
    <row r="5395">
      <c r="B5395" s="34"/>
    </row>
    <row r="5396">
      <c r="B5396" s="34"/>
    </row>
    <row r="5397">
      <c r="B5397" s="34"/>
    </row>
    <row r="5398">
      <c r="B5398" s="34"/>
    </row>
    <row r="5399">
      <c r="B5399" s="34"/>
    </row>
    <row r="5400">
      <c r="B5400" s="34"/>
    </row>
    <row r="5401">
      <c r="B5401" s="34"/>
    </row>
    <row r="5402">
      <c r="B5402" s="34"/>
    </row>
    <row r="5403">
      <c r="B5403" s="34"/>
    </row>
    <row r="5404">
      <c r="B5404" s="34"/>
    </row>
    <row r="5405">
      <c r="B5405" s="34"/>
    </row>
    <row r="5406">
      <c r="B5406" s="34"/>
    </row>
    <row r="5407">
      <c r="B5407" s="34"/>
    </row>
    <row r="5408">
      <c r="B5408" s="34"/>
    </row>
    <row r="5409">
      <c r="B5409" s="34"/>
    </row>
    <row r="5410">
      <c r="B5410" s="34"/>
    </row>
    <row r="5411">
      <c r="B5411" s="34"/>
    </row>
    <row r="5412">
      <c r="B5412" s="34"/>
    </row>
    <row r="5413">
      <c r="B5413" s="34"/>
    </row>
    <row r="5414">
      <c r="B5414" s="34"/>
    </row>
    <row r="5415">
      <c r="B5415" s="34"/>
    </row>
    <row r="5416">
      <c r="B5416" s="34"/>
    </row>
    <row r="5417">
      <c r="B5417" s="34"/>
    </row>
    <row r="5418">
      <c r="B5418" s="34"/>
    </row>
    <row r="5419">
      <c r="B5419" s="34"/>
    </row>
    <row r="5420">
      <c r="B5420" s="34"/>
    </row>
    <row r="5421">
      <c r="B5421" s="34"/>
    </row>
    <row r="5422">
      <c r="B5422" s="34"/>
    </row>
    <row r="5423">
      <c r="B5423" s="34"/>
    </row>
    <row r="5424">
      <c r="B5424" s="34"/>
    </row>
    <row r="5425">
      <c r="B5425" s="34"/>
    </row>
    <row r="5426">
      <c r="B5426" s="34"/>
    </row>
    <row r="5427">
      <c r="B5427" s="34"/>
    </row>
    <row r="5428">
      <c r="B5428" s="34"/>
    </row>
    <row r="5429">
      <c r="B5429" s="34"/>
    </row>
    <row r="5430">
      <c r="B5430" s="34"/>
    </row>
    <row r="5431">
      <c r="B5431" s="34"/>
    </row>
    <row r="5432">
      <c r="B5432" s="34"/>
    </row>
    <row r="5433">
      <c r="B5433" s="34"/>
    </row>
    <row r="5434">
      <c r="B5434" s="34"/>
    </row>
    <row r="5435">
      <c r="B5435" s="34"/>
    </row>
    <row r="5436">
      <c r="B5436" s="34"/>
    </row>
    <row r="5437">
      <c r="B5437" s="34"/>
    </row>
    <row r="5438">
      <c r="B5438" s="34"/>
    </row>
    <row r="5439">
      <c r="B5439" s="34"/>
    </row>
    <row r="5440">
      <c r="B5440" s="34"/>
    </row>
    <row r="5441">
      <c r="B5441" s="34"/>
    </row>
    <row r="5442">
      <c r="B5442" s="34"/>
    </row>
    <row r="5443">
      <c r="B5443" s="34"/>
    </row>
    <row r="5444">
      <c r="B5444" s="34"/>
    </row>
    <row r="5445">
      <c r="B5445" s="34"/>
    </row>
    <row r="5446">
      <c r="B5446" s="34"/>
    </row>
    <row r="5447">
      <c r="B5447" s="34"/>
    </row>
    <row r="5448">
      <c r="B5448" s="34"/>
    </row>
    <row r="5449">
      <c r="B5449" s="34"/>
    </row>
    <row r="5450">
      <c r="B5450" s="34"/>
    </row>
    <row r="5451">
      <c r="B5451" s="34"/>
    </row>
    <row r="5452">
      <c r="B5452" s="34"/>
    </row>
    <row r="5453">
      <c r="B5453" s="34"/>
    </row>
    <row r="5454">
      <c r="B5454" s="34"/>
    </row>
    <row r="5455">
      <c r="B5455" s="34"/>
    </row>
    <row r="5456">
      <c r="B5456" s="34"/>
    </row>
    <row r="5457">
      <c r="B5457" s="34"/>
    </row>
    <row r="5458">
      <c r="B5458" s="34"/>
    </row>
    <row r="5459">
      <c r="B5459" s="34"/>
    </row>
    <row r="5460">
      <c r="B5460" s="34"/>
    </row>
    <row r="5461">
      <c r="B5461" s="34"/>
    </row>
    <row r="5462">
      <c r="B5462" s="34"/>
    </row>
    <row r="5463">
      <c r="B5463" s="34"/>
    </row>
    <row r="5464">
      <c r="B5464" s="34"/>
    </row>
    <row r="5465">
      <c r="B5465" s="34"/>
    </row>
    <row r="5466">
      <c r="B5466" s="34"/>
    </row>
    <row r="5467">
      <c r="B5467" s="34"/>
    </row>
    <row r="5468">
      <c r="B5468" s="34"/>
    </row>
    <row r="5469">
      <c r="B5469" s="34"/>
    </row>
    <row r="5470">
      <c r="B5470" s="34"/>
    </row>
    <row r="5471">
      <c r="B5471" s="34"/>
    </row>
    <row r="5472">
      <c r="B5472" s="34"/>
    </row>
    <row r="5473">
      <c r="B5473" s="34"/>
    </row>
    <row r="5474">
      <c r="B5474" s="34"/>
    </row>
    <row r="5475">
      <c r="B5475" s="34"/>
    </row>
    <row r="5476">
      <c r="B5476" s="34"/>
    </row>
    <row r="5477">
      <c r="B5477" s="34"/>
    </row>
    <row r="5478">
      <c r="B5478" s="34"/>
    </row>
    <row r="5479">
      <c r="B5479" s="34"/>
    </row>
    <row r="5480">
      <c r="B5480" s="34"/>
    </row>
    <row r="5481">
      <c r="B5481" s="34"/>
    </row>
    <row r="5482">
      <c r="B5482" s="34"/>
    </row>
    <row r="5483">
      <c r="B5483" s="34"/>
    </row>
    <row r="5484">
      <c r="B5484" s="34"/>
    </row>
    <row r="5485">
      <c r="B5485" s="34"/>
    </row>
    <row r="5486">
      <c r="B5486" s="34"/>
    </row>
    <row r="5487">
      <c r="B5487" s="34"/>
    </row>
    <row r="5488">
      <c r="B5488" s="34"/>
    </row>
    <row r="5489">
      <c r="B5489" s="34"/>
    </row>
    <row r="5490">
      <c r="B5490" s="34"/>
    </row>
    <row r="5491">
      <c r="B5491" s="34"/>
    </row>
    <row r="5492">
      <c r="B5492" s="34"/>
    </row>
    <row r="5493">
      <c r="B5493" s="34"/>
    </row>
    <row r="5494">
      <c r="B5494" s="34"/>
    </row>
    <row r="5495">
      <c r="B5495" s="34"/>
    </row>
    <row r="5496">
      <c r="B5496" s="34"/>
    </row>
    <row r="5497">
      <c r="B5497" s="34"/>
    </row>
    <row r="5498">
      <c r="B5498" s="34"/>
    </row>
    <row r="5499">
      <c r="B5499" s="34"/>
    </row>
    <row r="5500">
      <c r="B5500" s="34"/>
    </row>
    <row r="5501">
      <c r="B5501" s="34"/>
    </row>
    <row r="5502">
      <c r="B5502" s="34"/>
    </row>
    <row r="5503">
      <c r="B5503" s="34"/>
    </row>
    <row r="5504">
      <c r="B5504" s="34"/>
    </row>
    <row r="5505">
      <c r="B5505" s="34"/>
    </row>
    <row r="5506">
      <c r="B5506" s="34"/>
    </row>
  </sheetData>
  <autoFilter ref="$A$1:$B$190">
    <filterColumn colId="0">
      <filters blank="1">
        <filter val="Lima duarte"/>
        <filter val="Laura cardoso"/>
        <filter val="Bolsonaro"/>
        <filter val="fuad noman"/>
        <filter val="roberto carlos"/>
        <filter val="Joan Plowright"/>
        <filter val="Faustão"/>
        <filter val="thais carla"/>
        <filter val="laura cardoso"/>
        <filter val="isabel veloso"/>
        <filter val="Lima Duarte"/>
        <filter val="gloria menezes"/>
        <filter val="mama bruschetta"/>
        <filter val="francisco cuoco"/>
        <filter val="tony tornado"/>
        <filter val="Sergio reis"/>
        <filter val="claudia rodrigues"/>
        <filter val="Papa francisco"/>
        <filter val="Faustao"/>
        <filter val="Preta Gil"/>
        <filter val="Ozzy osbourne"/>
        <filter val="Ary fontura"/>
        <filter val="lula"/>
        <filter val="raul gil"/>
        <filter val="Fernanda montenegro"/>
        <filter val="Jose mujica"/>
        <filter val="FHC"/>
        <filter val="Bruce willis"/>
        <filter val="Didi"/>
        <filter val="rod stewart"/>
        <filter val="Francisco cuoco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2023-05-25T13:12:33Z</dcterms:created>
  <dc:creator>Rayssa de Jesus</dc:creator>
</cp:coreProperties>
</file>